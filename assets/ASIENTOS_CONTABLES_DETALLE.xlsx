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royecto4\OneDrive - LLAMA GAS S.A\Documentos\GitHub\Jobs_JE\assets\"/>
    </mc:Choice>
  </mc:AlternateContent>
  <xr:revisionPtr revIDLastSave="0" documentId="13_ncr:1_{C18384CD-906E-42D9-95A5-E0AD31660506}" xr6:coauthVersionLast="47" xr6:coauthVersionMax="47" xr10:uidLastSave="{00000000-0000-0000-0000-000000000000}"/>
  <bookViews>
    <workbookView xWindow="-28920" yWindow="-975" windowWidth="29040" windowHeight="15720" xr2:uid="{00000000-000D-0000-FFFF-FFFF00000000}"/>
  </bookViews>
  <sheets>
    <sheet name="DetalleSaldosBancosFinal" sheetId="5" r:id="rId1"/>
    <sheet name="DetalleSaldosBancosFinal1" sheetId="3" state="hidden" r:id="rId2"/>
    <sheet name="BalanceComprobacion" sheetId="4" state="hidden" r:id="rId3"/>
    <sheet name="Detalle_Saldos_Bancos)" sheetId="2" state="hidden" r:id="rId4"/>
  </sheets>
  <definedNames>
    <definedName name="_xlnm._FilterDatabase" localSheetId="3" hidden="1">'Detalle_Saldos_Bancos)'!$A$2:$AE$20</definedName>
    <definedName name="_xlnm._FilterDatabase" localSheetId="0" hidden="1">DetalleSaldosBancosFinal!$A$1:$R$846</definedName>
    <definedName name="_xlnm._FilterDatabase" localSheetId="1" hidden="1">DetalleSaldosBancosFinal1!$A$2:$AE$20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2" l="1"/>
  <c r="N22" i="2" l="1"/>
  <c r="M22" i="2"/>
  <c r="O20" i="2"/>
  <c r="O22" i="2" l="1"/>
  <c r="D9" i="4"/>
  <c r="B21" i="4" l="1"/>
  <c r="B20" i="4"/>
  <c r="B19" i="4"/>
  <c r="B18" i="4"/>
  <c r="B17" i="4"/>
  <c r="B16" i="4"/>
  <c r="B15" i="4"/>
  <c r="B14" i="4"/>
  <c r="B13" i="4"/>
  <c r="B12" i="4"/>
  <c r="B10" i="4"/>
  <c r="B9" i="4"/>
  <c r="B7" i="4"/>
  <c r="B6" i="4"/>
  <c r="B5" i="4"/>
  <c r="B4" i="4"/>
  <c r="AG19" i="3" l="1"/>
  <c r="AF20" i="3"/>
  <c r="AG20" i="3"/>
  <c r="AF19" i="3"/>
  <c r="AG4" i="3"/>
  <c r="AG8" i="3"/>
  <c r="AG12" i="3"/>
  <c r="AG16" i="3"/>
  <c r="AF6" i="3"/>
  <c r="AF10" i="3"/>
  <c r="AF14" i="3"/>
  <c r="AF18" i="3"/>
  <c r="AG5" i="3"/>
  <c r="AG9" i="3"/>
  <c r="AG13" i="3"/>
  <c r="AG17" i="3"/>
  <c r="AG3" i="3"/>
  <c r="AF7" i="3"/>
  <c r="AF11" i="3"/>
  <c r="AF15" i="3"/>
  <c r="AG6" i="3"/>
  <c r="AG10" i="3"/>
  <c r="AG14" i="3"/>
  <c r="AG18" i="3"/>
  <c r="AF4" i="3"/>
  <c r="AF8" i="3"/>
  <c r="AF12" i="3"/>
  <c r="AF16" i="3"/>
  <c r="AG7" i="3"/>
  <c r="AG11" i="3"/>
  <c r="AG15" i="3"/>
  <c r="AF5" i="3"/>
  <c r="AF9" i="3"/>
  <c r="AF13" i="3"/>
  <c r="AF17" i="3"/>
  <c r="AF3" i="3"/>
  <c r="O15" i="3"/>
  <c r="O14" i="3"/>
  <c r="O13" i="3"/>
  <c r="O12" i="3"/>
  <c r="O11" i="3"/>
  <c r="O14" i="2" l="1"/>
  <c r="O13" i="2"/>
  <c r="O12" i="2"/>
  <c r="O11" i="2"/>
</calcChain>
</file>

<file path=xl/sharedStrings.xml><?xml version="1.0" encoding="utf-8"?>
<sst xmlns="http://schemas.openxmlformats.org/spreadsheetml/2006/main" count="3575" uniqueCount="1172">
  <si>
    <t>ParentKey</t>
  </si>
  <si>
    <t>LineNum</t>
  </si>
  <si>
    <t>AccountCode</t>
  </si>
  <si>
    <t>LineMemo</t>
  </si>
  <si>
    <t>DueDate</t>
  </si>
  <si>
    <t>TaxDate</t>
  </si>
  <si>
    <t>VatDate</t>
  </si>
  <si>
    <t>FCCurrency</t>
  </si>
  <si>
    <t>Debit</t>
  </si>
  <si>
    <t>Credit</t>
  </si>
  <si>
    <t>FCDebit</t>
  </si>
  <si>
    <t>FCCredit</t>
  </si>
  <si>
    <t>DebitSys</t>
  </si>
  <si>
    <t>CreditSys</t>
  </si>
  <si>
    <t>Reference2</t>
  </si>
  <si>
    <t>AdditionalReference</t>
  </si>
  <si>
    <t>BaseSum</t>
  </si>
  <si>
    <t>ContraAccount</t>
  </si>
  <si>
    <t>CostingCode</t>
  </si>
  <si>
    <t>GrossValue</t>
  </si>
  <si>
    <t>ProjectCode</t>
  </si>
  <si>
    <t>Reference1</t>
  </si>
  <si>
    <t>ReferenceDate1</t>
  </si>
  <si>
    <t>ReferenceDate2</t>
  </si>
  <si>
    <t>ShortName</t>
  </si>
  <si>
    <t>SystemBaseAmount</t>
  </si>
  <si>
    <t>SystemVatAmount</t>
  </si>
  <si>
    <t>TaxGroup</t>
  </si>
  <si>
    <t>VatAmount</t>
  </si>
  <si>
    <t>VatLine</t>
  </si>
  <si>
    <t>U_BPP_CTAD</t>
  </si>
  <si>
    <t>Correlativo</t>
  </si>
  <si>
    <t>Numero de Linea</t>
  </si>
  <si>
    <t>Cuenta Contable</t>
  </si>
  <si>
    <t>Observaciones</t>
  </si>
  <si>
    <t>Fecha de Contabilizacion</t>
  </si>
  <si>
    <t>Fecha de Documento</t>
  </si>
  <si>
    <t>Fecha de Vencimiento</t>
  </si>
  <si>
    <t>Moneda</t>
  </si>
  <si>
    <t>Debe Soles</t>
  </si>
  <si>
    <t>Haber Soles</t>
  </si>
  <si>
    <t>Debe Dolares</t>
  </si>
  <si>
    <t>Haber Dolares</t>
  </si>
  <si>
    <t>Debe Sistema</t>
  </si>
  <si>
    <t>Haber Sistema</t>
  </si>
  <si>
    <t>Cta Destino</t>
  </si>
  <si>
    <t>1011101</t>
  </si>
  <si>
    <t>1021101</t>
  </si>
  <si>
    <t>1041101</t>
  </si>
  <si>
    <t>1041107</t>
  </si>
  <si>
    <t>1041110</t>
  </si>
  <si>
    <t>1042101</t>
  </si>
  <si>
    <t>9901</t>
  </si>
  <si>
    <t>Cuenta de Cierre de Bancos SOL</t>
  </si>
  <si>
    <t>1041102</t>
  </si>
  <si>
    <t>USD</t>
  </si>
  <si>
    <t>1041103</t>
  </si>
  <si>
    <t>1041106</t>
  </si>
  <si>
    <t>1041109</t>
  </si>
  <si>
    <t>1041108</t>
  </si>
  <si>
    <t>1041111</t>
  </si>
  <si>
    <t>1041113</t>
  </si>
  <si>
    <t>Cuenta de Cierre de Bancos USD</t>
  </si>
  <si>
    <t>CargoSoles</t>
  </si>
  <si>
    <t>AbonoSoles</t>
  </si>
  <si>
    <t>20130630</t>
  </si>
  <si>
    <t>1062101</t>
  </si>
  <si>
    <t>1041112</t>
  </si>
  <si>
    <t>1041104</t>
  </si>
  <si>
    <t>NUM.</t>
  </si>
  <si>
    <t>CTA</t>
  </si>
  <si>
    <t>SUMAS DEL MAYOR</t>
  </si>
  <si>
    <t>SALDOS</t>
  </si>
  <si>
    <t>INVENTARIO</t>
  </si>
  <si>
    <t>RESULTADOS</t>
  </si>
  <si>
    <t>CTA.</t>
  </si>
  <si>
    <t>SAP</t>
  </si>
  <si>
    <t>D E S C R I P C I O N</t>
  </si>
  <si>
    <t>D E B E</t>
  </si>
  <si>
    <t>H A B E R</t>
  </si>
  <si>
    <t>DEUDOR</t>
  </si>
  <si>
    <t>ACREEDOR</t>
  </si>
  <si>
    <t>A C T I V O</t>
  </si>
  <si>
    <t>P A S I V O</t>
  </si>
  <si>
    <t>PERDIDAS</t>
  </si>
  <si>
    <t>GANANCIAS</t>
  </si>
  <si>
    <t>CAJA SOLES</t>
  </si>
  <si>
    <t>CAJA DOLARES</t>
  </si>
  <si>
    <t>FONDOS FIJOS  ÑAÑA</t>
  </si>
  <si>
    <t>BANCO SCOTIABANK GTIA ME 000-169</t>
  </si>
  <si>
    <t>BANCO SCOTIABANK CTA GARANT ME 0</t>
  </si>
  <si>
    <t>BANCO SCOTIABANK CTA DOLARES CTA</t>
  </si>
  <si>
    <t>BANCO SCOTIABANK CTA CRED.DOC. M</t>
  </si>
  <si>
    <t>MI BANCO CTA CTE DOLARES 0187432</t>
  </si>
  <si>
    <t>BCO DE CREDITO CTA.CTE.002-193-0</t>
  </si>
  <si>
    <t>BANCO DE CREDITO ME 002-193-0015</t>
  </si>
  <si>
    <t>OPALO BCO.CRED S/.191-1709699-0-</t>
  </si>
  <si>
    <t>OPALO BCO. CRED. $ 191-169455-1-</t>
  </si>
  <si>
    <t>BCO DE CREDITO CTA CTE ME $ 193-</t>
  </si>
  <si>
    <t>BANCO INTERBANK/EX LATINO CTA CT</t>
  </si>
  <si>
    <t>BANCO INTERBANK CTA CTE ME 003-0</t>
  </si>
  <si>
    <t>DEPOSITO A PLAZO SCOTIABANK</t>
  </si>
  <si>
    <t>BANCO DE LA NACION CTA DETRACCIO</t>
  </si>
  <si>
    <t>1020101</t>
  </si>
  <si>
    <t>1041114</t>
  </si>
  <si>
    <t>U_INFOPE01</t>
  </si>
  <si>
    <t>U_INFOPE02</t>
  </si>
  <si>
    <t>94211202</t>
  </si>
  <si>
    <t>94221104</t>
  </si>
  <si>
    <t>94211402</t>
  </si>
  <si>
    <t>94211105</t>
  </si>
  <si>
    <t>94221101</t>
  </si>
  <si>
    <t>94221102</t>
  </si>
  <si>
    <t>94211602</t>
  </si>
  <si>
    <t>94271101</t>
  </si>
  <si>
    <t>94291101</t>
  </si>
  <si>
    <t>266.67</t>
  </si>
  <si>
    <t>1635</t>
  </si>
  <si>
    <t>981</t>
  </si>
  <si>
    <t>2500</t>
  </si>
  <si>
    <t>1000</t>
  </si>
  <si>
    <t>7000</t>
  </si>
  <si>
    <t>400</t>
  </si>
  <si>
    <t>200</t>
  </si>
  <si>
    <t>1200</t>
  </si>
  <si>
    <t>233.33</t>
  </si>
  <si>
    <t>300</t>
  </si>
  <si>
    <t>1400</t>
  </si>
  <si>
    <t>1500</t>
  </si>
  <si>
    <t>1100</t>
  </si>
  <si>
    <t>40</t>
  </si>
  <si>
    <t>650</t>
  </si>
  <si>
    <t>18000</t>
  </si>
  <si>
    <t>450</t>
  </si>
  <si>
    <t>2800</t>
  </si>
  <si>
    <t>1620</t>
  </si>
  <si>
    <t>1900</t>
  </si>
  <si>
    <t>3000</t>
  </si>
  <si>
    <t>186.67</t>
  </si>
  <si>
    <t>600</t>
  </si>
  <si>
    <t>100</t>
  </si>
  <si>
    <t>320</t>
  </si>
  <si>
    <t>565</t>
  </si>
  <si>
    <t>113</t>
  </si>
  <si>
    <t>226</t>
  </si>
  <si>
    <t>339</t>
  </si>
  <si>
    <t>452</t>
  </si>
  <si>
    <t>1130</t>
  </si>
  <si>
    <t>904</t>
  </si>
  <si>
    <t>678</t>
  </si>
  <si>
    <t>350</t>
  </si>
  <si>
    <t>290</t>
  </si>
  <si>
    <t>500</t>
  </si>
  <si>
    <t>388.4</t>
  </si>
  <si>
    <t>250</t>
  </si>
  <si>
    <t>460.17</t>
  </si>
  <si>
    <t>235.17</t>
  </si>
  <si>
    <t>315</t>
  </si>
  <si>
    <t>325.17</t>
  </si>
  <si>
    <t>415.17</t>
  </si>
  <si>
    <t>190.17</t>
  </si>
  <si>
    <t>208.17</t>
  </si>
  <si>
    <t>171</t>
  </si>
  <si>
    <t>101.7</t>
  </si>
  <si>
    <t>262.17</t>
  </si>
  <si>
    <t>144</t>
  </si>
  <si>
    <t>1360.17</t>
  </si>
  <si>
    <t>630</t>
  </si>
  <si>
    <t>405</t>
  </si>
  <si>
    <t>675</t>
  </si>
  <si>
    <t>198.03</t>
  </si>
  <si>
    <t>136.06</t>
  </si>
  <si>
    <t>10.17</t>
  </si>
  <si>
    <t>269.56</t>
  </si>
  <si>
    <t>180</t>
  </si>
  <si>
    <t>136.17</t>
  </si>
  <si>
    <t>280.17</t>
  </si>
  <si>
    <t>288</t>
  </si>
  <si>
    <t>106.67</t>
  </si>
  <si>
    <t>2000</t>
  </si>
  <si>
    <t>93.33</t>
  </si>
  <si>
    <t>791</t>
  </si>
  <si>
    <t>173</t>
  </si>
  <si>
    <t>96</t>
  </si>
  <si>
    <t>2480</t>
  </si>
  <si>
    <t>800</t>
  </si>
  <si>
    <t>1185.5</t>
  </si>
  <si>
    <t>2518.83</t>
  </si>
  <si>
    <t>88.26</t>
  </si>
  <si>
    <t>160</t>
  </si>
  <si>
    <t>395.66</t>
  </si>
  <si>
    <t>127.53</t>
  </si>
  <si>
    <t>113.33</t>
  </si>
  <si>
    <t>165.32</t>
  </si>
  <si>
    <t>106.7</t>
  </si>
  <si>
    <t>170.02</t>
  </si>
  <si>
    <t>550.17</t>
  </si>
  <si>
    <t>289.17</t>
  </si>
  <si>
    <t>247.25</t>
  </si>
  <si>
    <t>910.17</t>
  </si>
  <si>
    <t>585</t>
  </si>
  <si>
    <t>463.56</t>
  </si>
  <si>
    <t>478.8</t>
  </si>
  <si>
    <t>316.17</t>
  </si>
  <si>
    <t>187.01</t>
  </si>
  <si>
    <t>153.32</t>
  </si>
  <si>
    <t>640.17</t>
  </si>
  <si>
    <t>540</t>
  </si>
  <si>
    <t>366.37</t>
  </si>
  <si>
    <t>268.07</t>
  </si>
  <si>
    <t>243.9</t>
  </si>
  <si>
    <t>189</t>
  </si>
  <si>
    <t>212.56</t>
  </si>
  <si>
    <t>303.78</t>
  </si>
  <si>
    <t>243</t>
  </si>
  <si>
    <t>360</t>
  </si>
  <si>
    <t>270</t>
  </si>
  <si>
    <t>408.42</t>
  </si>
  <si>
    <t>225</t>
  </si>
  <si>
    <t>252</t>
  </si>
  <si>
    <t>730.17</t>
  </si>
  <si>
    <t>765</t>
  </si>
  <si>
    <t>370.17</t>
  </si>
  <si>
    <t>335.2</t>
  </si>
  <si>
    <t>251.78</t>
  </si>
  <si>
    <t>1810.17</t>
  </si>
  <si>
    <t>233.6</t>
  </si>
  <si>
    <t>154.17</t>
  </si>
  <si>
    <t>113.48</t>
  </si>
  <si>
    <t>118.17</t>
  </si>
  <si>
    <t>667.62</t>
  </si>
  <si>
    <t>785.07</t>
  </si>
  <si>
    <t>1180.17</t>
  </si>
  <si>
    <t>900</t>
  </si>
  <si>
    <t>457.17</t>
  </si>
  <si>
    <t>143.56</t>
  </si>
  <si>
    <t>188.8</t>
  </si>
  <si>
    <t>125.52</t>
  </si>
  <si>
    <t>125.39</t>
  </si>
  <si>
    <t>111.73</t>
  </si>
  <si>
    <t>234</t>
  </si>
  <si>
    <t>122.4</t>
  </si>
  <si>
    <t>126</t>
  </si>
  <si>
    <t>144.96</t>
  </si>
  <si>
    <t>153.81</t>
  </si>
  <si>
    <t>134.4</t>
  </si>
  <si>
    <t>225.86</t>
  </si>
  <si>
    <t>134.56</t>
  </si>
  <si>
    <t>121.66</t>
  </si>
  <si>
    <t>111.87</t>
  </si>
  <si>
    <t>110.95</t>
  </si>
  <si>
    <t>179.66</t>
  </si>
  <si>
    <t>142.78</t>
  </si>
  <si>
    <t>123.57</t>
  </si>
  <si>
    <t>199.68</t>
  </si>
  <si>
    <t>164.54</t>
  </si>
  <si>
    <t>153.54</t>
  </si>
  <si>
    <t>110.8</t>
  </si>
  <si>
    <t>189.28</t>
  </si>
  <si>
    <t>179.03</t>
  </si>
  <si>
    <t>160.64</t>
  </si>
  <si>
    <t>147.15</t>
  </si>
  <si>
    <t>165.55</t>
  </si>
  <si>
    <t>220.19</t>
  </si>
  <si>
    <t>105.09</t>
  </si>
  <si>
    <t>152.85</t>
  </si>
  <si>
    <t>134.92</t>
  </si>
  <si>
    <t>172.17</t>
  </si>
  <si>
    <t>151.9</t>
  </si>
  <si>
    <t>160.92</t>
  </si>
  <si>
    <t>144.83</t>
  </si>
  <si>
    <t>691.54</t>
  </si>
  <si>
    <t>1469.32</t>
  </si>
  <si>
    <t>7300</t>
  </si>
  <si>
    <t>12933.33</t>
  </si>
  <si>
    <t>561</t>
  </si>
  <si>
    <t>21333.33</t>
  </si>
  <si>
    <t>1768</t>
  </si>
  <si>
    <t>416</t>
  </si>
  <si>
    <t>205</t>
  </si>
  <si>
    <t>181</t>
  </si>
  <si>
    <t>340</t>
  </si>
  <si>
    <t>22053.95</t>
  </si>
  <si>
    <t>5600</t>
  </si>
  <si>
    <t>12016.67</t>
  </si>
  <si>
    <t>433</t>
  </si>
  <si>
    <t>3100</t>
  </si>
  <si>
    <t>7840</t>
  </si>
  <si>
    <t>6886.67</t>
  </si>
  <si>
    <t>10290</t>
  </si>
  <si>
    <t>5900</t>
  </si>
  <si>
    <t>3900</t>
  </si>
  <si>
    <t>2700</t>
  </si>
  <si>
    <t>25115.77</t>
  </si>
  <si>
    <t>17930</t>
  </si>
  <si>
    <t>5000</t>
  </si>
  <si>
    <t>6400</t>
  </si>
  <si>
    <t>5400</t>
  </si>
  <si>
    <t>3800</t>
  </si>
  <si>
    <t>11866.67</t>
  </si>
  <si>
    <t>3600</t>
  </si>
  <si>
    <t>6300</t>
  </si>
  <si>
    <t>12913.33</t>
  </si>
  <si>
    <t>2643.33</t>
  </si>
  <si>
    <t>6500</t>
  </si>
  <si>
    <t>361</t>
  </si>
  <si>
    <t>9360</t>
  </si>
  <si>
    <t>4200</t>
  </si>
  <si>
    <t>4413.33</t>
  </si>
  <si>
    <t>10850</t>
  </si>
  <si>
    <t>1115</t>
  </si>
  <si>
    <t>3873.33</t>
  </si>
  <si>
    <t>8500</t>
  </si>
  <si>
    <t>8200</t>
  </si>
  <si>
    <t>4140</t>
  </si>
  <si>
    <t>11285.11</t>
  </si>
  <si>
    <t>19800</t>
  </si>
  <si>
    <t>3741.78</t>
  </si>
  <si>
    <t>1763.12</t>
  </si>
  <si>
    <t>12360</t>
  </si>
  <si>
    <t>2406.33</t>
  </si>
  <si>
    <t>3666.67</t>
  </si>
  <si>
    <t>6450</t>
  </si>
  <si>
    <t>913</t>
  </si>
  <si>
    <t>17704.57</t>
  </si>
  <si>
    <t>2150</t>
  </si>
  <si>
    <t>7250</t>
  </si>
  <si>
    <t>5791.66</t>
  </si>
  <si>
    <t>6700</t>
  </si>
  <si>
    <t>5800</t>
  </si>
  <si>
    <t>2381.89</t>
  </si>
  <si>
    <t>5277.2</t>
  </si>
  <si>
    <t>2400</t>
  </si>
  <si>
    <t>25071.11</t>
  </si>
  <si>
    <t>83.33</t>
  </si>
  <si>
    <t>233.34</t>
  </si>
  <si>
    <t>520</t>
  </si>
  <si>
    <t>50</t>
  </si>
  <si>
    <t>1017</t>
  </si>
  <si>
    <t>1243</t>
  </si>
  <si>
    <t>4186</t>
  </si>
  <si>
    <t>1733</t>
  </si>
  <si>
    <t>4123</t>
  </si>
  <si>
    <t>1539</t>
  </si>
  <si>
    <t>1806</t>
  </si>
  <si>
    <t>2337</t>
  </si>
  <si>
    <t>492</t>
  </si>
  <si>
    <t>1206</t>
  </si>
  <si>
    <t>620</t>
  </si>
  <si>
    <t>5576</t>
  </si>
  <si>
    <t>2442</t>
  </si>
  <si>
    <t>1877</t>
  </si>
  <si>
    <t>2576</t>
  </si>
  <si>
    <t>3025</t>
  </si>
  <si>
    <t>364</t>
  </si>
  <si>
    <t>947</t>
  </si>
  <si>
    <t>211</t>
  </si>
  <si>
    <t>58</t>
  </si>
  <si>
    <t>5907</t>
  </si>
  <si>
    <t>893</t>
  </si>
  <si>
    <t>3824</t>
  </si>
  <si>
    <t>747</t>
  </si>
  <si>
    <t>209</t>
  </si>
  <si>
    <t>857</t>
  </si>
  <si>
    <t>1925</t>
  </si>
  <si>
    <t>263</t>
  </si>
  <si>
    <t>3130</t>
  </si>
  <si>
    <t>474</t>
  </si>
  <si>
    <t>627</t>
  </si>
  <si>
    <t>2534</t>
  </si>
  <si>
    <t>254</t>
  </si>
  <si>
    <t>11008</t>
  </si>
  <si>
    <t>534</t>
  </si>
  <si>
    <t>1172</t>
  </si>
  <si>
    <t>1001</t>
  </si>
  <si>
    <t>3595</t>
  </si>
  <si>
    <t>2170</t>
  </si>
  <si>
    <t>2111</t>
  </si>
  <si>
    <t>1931</t>
  </si>
  <si>
    <t>615</t>
  </si>
  <si>
    <t>1133</t>
  </si>
  <si>
    <t>2729</t>
  </si>
  <si>
    <t>305</t>
  </si>
  <si>
    <t>19720</t>
  </si>
  <si>
    <t>2234</t>
  </si>
  <si>
    <t>1960</t>
  </si>
  <si>
    <t>1572</t>
  </si>
  <si>
    <t>6800</t>
  </si>
  <si>
    <t>3734</t>
  </si>
  <si>
    <t>506.66</t>
  </si>
  <si>
    <t>1158.33</t>
  </si>
  <si>
    <t>430</t>
  </si>
  <si>
    <t>1308.54</t>
  </si>
  <si>
    <t>341.2</t>
  </si>
  <si>
    <t>226.95</t>
  </si>
  <si>
    <t>825.49</t>
  </si>
  <si>
    <t>656.37</t>
  </si>
  <si>
    <t>126.08</t>
  </si>
  <si>
    <t>331.67</t>
  </si>
  <si>
    <t>151.67</t>
  </si>
  <si>
    <t>215.06</t>
  </si>
  <si>
    <t>364.48</t>
  </si>
  <si>
    <t>538.9</t>
  </si>
  <si>
    <t>202.53</t>
  </si>
  <si>
    <t>4619.3</t>
  </si>
  <si>
    <t>657.24</t>
  </si>
  <si>
    <t>260.87</t>
  </si>
  <si>
    <t>557.66</t>
  </si>
  <si>
    <t>358.66</t>
  </si>
  <si>
    <t>639.4</t>
  </si>
  <si>
    <t>361.73</t>
  </si>
  <si>
    <t>706.5</t>
  </si>
  <si>
    <t>87.53</t>
  </si>
  <si>
    <t>140.87</t>
  </si>
  <si>
    <t>555.93</t>
  </si>
  <si>
    <t>193.33</t>
  </si>
  <si>
    <t>220.87</t>
  </si>
  <si>
    <t>206</t>
  </si>
  <si>
    <t>977.4</t>
  </si>
  <si>
    <t>525.51</t>
  </si>
  <si>
    <t>631.86</t>
  </si>
  <si>
    <t>634.2</t>
  </si>
  <si>
    <t>1458.93</t>
  </si>
  <si>
    <t>777.67</t>
  </si>
  <si>
    <t>107.53</t>
  </si>
  <si>
    <t>174.2</t>
  </si>
  <si>
    <t>208.4</t>
  </si>
  <si>
    <t>904.47</t>
  </si>
  <si>
    <t>746.67</t>
  </si>
  <si>
    <t>210</t>
  </si>
  <si>
    <t>604.33</t>
  </si>
  <si>
    <t>234.2</t>
  </si>
  <si>
    <t>264.2</t>
  </si>
  <si>
    <t>727.08</t>
  </si>
  <si>
    <t>215.07</t>
  </si>
  <si>
    <t>445.06</t>
  </si>
  <si>
    <t>833.6</t>
  </si>
  <si>
    <t>207.53</t>
  </si>
  <si>
    <t>555.5</t>
  </si>
  <si>
    <t>668.45</t>
  </si>
  <si>
    <t>726.07</t>
  </si>
  <si>
    <t>416.8</t>
  </si>
  <si>
    <t>618.04</t>
  </si>
  <si>
    <t>2788.93</t>
  </si>
  <si>
    <t>1126.67</t>
  </si>
  <si>
    <t>198.54</t>
  </si>
  <si>
    <t>207</t>
  </si>
  <si>
    <t>551.16</t>
  </si>
  <si>
    <t>870.75</t>
  </si>
  <si>
    <t>162</t>
  </si>
  <si>
    <t>1100.52</t>
  </si>
  <si>
    <t>982.44</t>
  </si>
  <si>
    <t>233.5</t>
  </si>
  <si>
    <t>818.91</t>
  </si>
  <si>
    <t>627.08</t>
  </si>
  <si>
    <t>143.6</t>
  </si>
  <si>
    <t>180.74</t>
  </si>
  <si>
    <t>122.55</t>
  </si>
  <si>
    <t>156.03</t>
  </si>
  <si>
    <t>188.34</t>
  </si>
  <si>
    <t>135</t>
  </si>
  <si>
    <t>145.11</t>
  </si>
  <si>
    <t>119.71</t>
  </si>
  <si>
    <t>153.39</t>
  </si>
  <si>
    <t>155.12</t>
  </si>
  <si>
    <t>168.38</t>
  </si>
  <si>
    <t>571.14</t>
  </si>
  <si>
    <t>142.01</t>
  </si>
  <si>
    <t>114.26</t>
  </si>
  <si>
    <t>123.84</t>
  </si>
  <si>
    <t>115.2</t>
  </si>
  <si>
    <t>156.6</t>
  </si>
  <si>
    <t>116.08</t>
  </si>
  <si>
    <t>136.4</t>
  </si>
  <si>
    <t>246.93</t>
  </si>
  <si>
    <t>108</t>
  </si>
  <si>
    <t>134.57</t>
  </si>
  <si>
    <t>117.86</t>
  </si>
  <si>
    <t>125.9</t>
  </si>
  <si>
    <t>232.5</t>
  </si>
  <si>
    <t>331.74</t>
  </si>
  <si>
    <t>786.24</t>
  </si>
  <si>
    <t>146.85</t>
  </si>
  <si>
    <t>135.38</t>
  </si>
  <si>
    <t>169.92</t>
  </si>
  <si>
    <t>232.27</t>
  </si>
  <si>
    <t>238.14</t>
  </si>
  <si>
    <t>140.46</t>
  </si>
  <si>
    <t>126.81</t>
  </si>
  <si>
    <t>103.77</t>
  </si>
  <si>
    <t>346.32</t>
  </si>
  <si>
    <t>107.19</t>
  </si>
  <si>
    <t>145.17</t>
  </si>
  <si>
    <t>179.82</t>
  </si>
  <si>
    <t>335.43</t>
  </si>
  <si>
    <t>188.82</t>
  </si>
  <si>
    <t>130.77</t>
  </si>
  <si>
    <t>107.25</t>
  </si>
  <si>
    <t>249.71</t>
  </si>
  <si>
    <t>207.14</t>
  </si>
  <si>
    <t>161.39</t>
  </si>
  <si>
    <t>154.19</t>
  </si>
  <si>
    <t>206.02</t>
  </si>
  <si>
    <t>117</t>
  </si>
  <si>
    <t>349.29</t>
  </si>
  <si>
    <t>196.94</t>
  </si>
  <si>
    <t>153.45</t>
  </si>
  <si>
    <t>186.03</t>
  </si>
  <si>
    <t>201.2</t>
  </si>
  <si>
    <t>125.46</t>
  </si>
  <si>
    <t>167.94</t>
  </si>
  <si>
    <t>256.99</t>
  </si>
  <si>
    <t>151.2</t>
  </si>
  <si>
    <t>157.5</t>
  </si>
  <si>
    <t>253.37</t>
  </si>
  <si>
    <t>231.65</t>
  </si>
  <si>
    <t>179.29</t>
  </si>
  <si>
    <t>163.4</t>
  </si>
  <si>
    <t>140.7</t>
  </si>
  <si>
    <t>289.8</t>
  </si>
  <si>
    <t>159.06</t>
  </si>
  <si>
    <t>152.06</t>
  </si>
  <si>
    <t>194.11</t>
  </si>
  <si>
    <t>414</t>
  </si>
  <si>
    <t>148.13</t>
  </si>
  <si>
    <t>178.65</t>
  </si>
  <si>
    <t>490.23</t>
  </si>
  <si>
    <t>160.65</t>
  </si>
  <si>
    <t>145.25</t>
  </si>
  <si>
    <t>111.6</t>
  </si>
  <si>
    <t>118.08</t>
  </si>
  <si>
    <t>181.15</t>
  </si>
  <si>
    <t>147.24</t>
  </si>
  <si>
    <t>120.15</t>
  </si>
  <si>
    <t>246.38</t>
  </si>
  <si>
    <t>126.05</t>
  </si>
  <si>
    <t>251.8</t>
  </si>
  <si>
    <t>246.36</t>
  </si>
  <si>
    <t>143.49</t>
  </si>
  <si>
    <t>191.7</t>
  </si>
  <si>
    <t>145.13</t>
  </si>
  <si>
    <t>255.97</t>
  </si>
  <si>
    <t>154.33</t>
  </si>
  <si>
    <t>152.65</t>
  </si>
  <si>
    <t>174.29</t>
  </si>
  <si>
    <t>254.93</t>
  </si>
  <si>
    <t>237.93</t>
  </si>
  <si>
    <t>271.17</t>
  </si>
  <si>
    <t>161.63</t>
  </si>
  <si>
    <t>131.58</t>
  </si>
  <si>
    <t>153</t>
  </si>
  <si>
    <t>184.11</t>
  </si>
  <si>
    <t>174.15</t>
  </si>
  <si>
    <t>134.91</t>
  </si>
  <si>
    <t>139.14</t>
  </si>
  <si>
    <t>145.04</t>
  </si>
  <si>
    <t>217.17</t>
  </si>
  <si>
    <t>202.85</t>
  </si>
  <si>
    <t>197.26</t>
  </si>
  <si>
    <t>137.97</t>
  </si>
  <si>
    <t>120.05</t>
  </si>
  <si>
    <t>368.52</t>
  </si>
  <si>
    <t>184.17</t>
  </si>
  <si>
    <t>186.33</t>
  </si>
  <si>
    <t>138.33</t>
  </si>
  <si>
    <t>424.8</t>
  </si>
  <si>
    <t>521.37</t>
  </si>
  <si>
    <t>126.24</t>
  </si>
  <si>
    <t>364.68</t>
  </si>
  <si>
    <t>203.21</t>
  </si>
  <si>
    <t>230.76</t>
  </si>
  <si>
    <t>127.03</t>
  </si>
  <si>
    <t>235.22</t>
  </si>
  <si>
    <t>130.93</t>
  </si>
  <si>
    <t>242.96</t>
  </si>
  <si>
    <t>255.29</t>
  </si>
  <si>
    <t>114.3</t>
  </si>
  <si>
    <t>135.65</t>
  </si>
  <si>
    <t>263.66</t>
  </si>
  <si>
    <t>154.85</t>
  </si>
  <si>
    <t>220.23</t>
  </si>
  <si>
    <t>138.6</t>
  </si>
  <si>
    <t>144.81</t>
  </si>
  <si>
    <t>129</t>
  </si>
  <si>
    <t>124.2</t>
  </si>
  <si>
    <t>112.64</t>
  </si>
  <si>
    <t>168.84</t>
  </si>
  <si>
    <t>147.21</t>
  </si>
  <si>
    <t>208.55</t>
  </si>
  <si>
    <t>178.5</t>
  </si>
  <si>
    <t>175.41</t>
  </si>
  <si>
    <t>198.27</t>
  </si>
  <si>
    <t>180.27</t>
  </si>
  <si>
    <t>129.24</t>
  </si>
  <si>
    <t>398.25</t>
  </si>
  <si>
    <t>140.67</t>
  </si>
  <si>
    <t>132.87</t>
  </si>
  <si>
    <t>142.8</t>
  </si>
  <si>
    <t>241.1</t>
  </si>
  <si>
    <t>232.74</t>
  </si>
  <si>
    <t>148.68</t>
  </si>
  <si>
    <t>222.25</t>
  </si>
  <si>
    <t>231.12</t>
  </si>
  <si>
    <t>109.17</t>
  </si>
  <si>
    <t>177.66</t>
  </si>
  <si>
    <t>144.13</t>
  </si>
  <si>
    <t>211.28</t>
  </si>
  <si>
    <t>250.85</t>
  </si>
  <si>
    <t>230.75</t>
  </si>
  <si>
    <t>240.35</t>
  </si>
  <si>
    <t>86.97</t>
  </si>
  <si>
    <t>152.37</t>
  </si>
  <si>
    <t>174.89</t>
  </si>
  <si>
    <t>222.85</t>
  </si>
  <si>
    <t>202.45</t>
  </si>
  <si>
    <t>189.29</t>
  </si>
  <si>
    <t>175.68</t>
  </si>
  <si>
    <t>147.51</t>
  </si>
  <si>
    <t>160.2</t>
  </si>
  <si>
    <t>121.5</t>
  </si>
  <si>
    <t>171.03</t>
  </si>
  <si>
    <t>144.9</t>
  </si>
  <si>
    <t>178.2</t>
  </si>
  <si>
    <t>259.55</t>
  </si>
  <si>
    <t>182.92</t>
  </si>
  <si>
    <t>237.05</t>
  </si>
  <si>
    <t>189.05</t>
  </si>
  <si>
    <t>198</t>
  </si>
  <si>
    <t>217.85</t>
  </si>
  <si>
    <t>193.5</t>
  </si>
  <si>
    <t>131.22</t>
  </si>
  <si>
    <t>185.53</t>
  </si>
  <si>
    <t>252.02</t>
  </si>
  <si>
    <t>189.9</t>
  </si>
  <si>
    <t>356.76</t>
  </si>
  <si>
    <t>290.97</t>
  </si>
  <si>
    <t>111.24</t>
  </si>
  <si>
    <t>552.6</t>
  </si>
  <si>
    <t>519.57</t>
  </si>
  <si>
    <t>297.14</t>
  </si>
  <si>
    <t>164.53</t>
  </si>
  <si>
    <t>337.23</t>
  </si>
  <si>
    <t>317.98</t>
  </si>
  <si>
    <t>139.01</t>
  </si>
  <si>
    <t>202.91</t>
  </si>
  <si>
    <t>270.01</t>
  </si>
  <si>
    <t>244.94</t>
  </si>
  <si>
    <t>119.7</t>
  </si>
  <si>
    <t>181.66</t>
  </si>
  <si>
    <t>230.41</t>
  </si>
  <si>
    <t>207.41</t>
  </si>
  <si>
    <t>217.09</t>
  </si>
  <si>
    <t>269.87</t>
  </si>
  <si>
    <t>219.38</t>
  </si>
  <si>
    <t>274.77</t>
  </si>
  <si>
    <t>226.3</t>
  </si>
  <si>
    <t>157.62</t>
  </si>
  <si>
    <t>166.81</t>
  </si>
  <si>
    <t>201.11</t>
  </si>
  <si>
    <t>140.69</t>
  </si>
  <si>
    <t>135.76</t>
  </si>
  <si>
    <t>207.2</t>
  </si>
  <si>
    <t>219.25</t>
  </si>
  <si>
    <t>214.12</t>
  </si>
  <si>
    <t>200.89</t>
  </si>
  <si>
    <t>206.33</t>
  </si>
  <si>
    <t>180.49</t>
  </si>
  <si>
    <t>169.76</t>
  </si>
  <si>
    <t>173.26</t>
  </si>
  <si>
    <t>233.9</t>
  </si>
  <si>
    <t>170.66</t>
  </si>
  <si>
    <t>201.88</t>
  </si>
  <si>
    <t>304.03</t>
  </si>
  <si>
    <t>238.71</t>
  </si>
  <si>
    <t>123.09</t>
  </si>
  <si>
    <t>124.8</t>
  </si>
  <si>
    <t>160.55</t>
  </si>
  <si>
    <t>171.45</t>
  </si>
  <si>
    <t>122.67</t>
  </si>
  <si>
    <t>128.7</t>
  </si>
  <si>
    <t>193.56</t>
  </si>
  <si>
    <t>215.53</t>
  </si>
  <si>
    <t>183.88</t>
  </si>
  <si>
    <t>184.35</t>
  </si>
  <si>
    <t>102.13</t>
  </si>
  <si>
    <t>241.04</t>
  </si>
  <si>
    <t>152.7</t>
  </si>
  <si>
    <t>212.5</t>
  </si>
  <si>
    <t>195.13</t>
  </si>
  <si>
    <t>93.98</t>
  </si>
  <si>
    <t>18.55</t>
  </si>
  <si>
    <t>189.99</t>
  </si>
  <si>
    <t>15.65</t>
  </si>
  <si>
    <t>26.25</t>
  </si>
  <si>
    <t>16.2</t>
  </si>
  <si>
    <t>10.7</t>
  </si>
  <si>
    <t>6.05</t>
  </si>
  <si>
    <t>7.45</t>
  </si>
  <si>
    <t>PL-012507EMN0L</t>
  </si>
  <si>
    <t>PLANILLA MES DE JULIO 2025</t>
  </si>
  <si>
    <t>24865</t>
  </si>
  <si>
    <t>142776</t>
  </si>
  <si>
    <t>618441</t>
  </si>
  <si>
    <t>648525</t>
  </si>
  <si>
    <t>723588</t>
  </si>
  <si>
    <t>790203</t>
  </si>
  <si>
    <t>800528</t>
  </si>
  <si>
    <t>817080</t>
  </si>
  <si>
    <t>863090</t>
  </si>
  <si>
    <t>866406</t>
  </si>
  <si>
    <t>873854</t>
  </si>
  <si>
    <t>880259</t>
  </si>
  <si>
    <t>889371</t>
  </si>
  <si>
    <t>9002293</t>
  </si>
  <si>
    <t>9025626</t>
  </si>
  <si>
    <t>9042918</t>
  </si>
  <si>
    <t>27937</t>
  </si>
  <si>
    <t>578279</t>
  </si>
  <si>
    <t>782920</t>
  </si>
  <si>
    <t>785699</t>
  </si>
  <si>
    <t>820800</t>
  </si>
  <si>
    <t>828010</t>
  </si>
  <si>
    <t>898001</t>
  </si>
  <si>
    <t>9054671</t>
  </si>
  <si>
    <t>9085664</t>
  </si>
  <si>
    <t>9086602</t>
  </si>
  <si>
    <t>577421</t>
  </si>
  <si>
    <t>638919</t>
  </si>
  <si>
    <t>808387</t>
  </si>
  <si>
    <t>847281</t>
  </si>
  <si>
    <t>880890</t>
  </si>
  <si>
    <t>9072502</t>
  </si>
  <si>
    <t>774781</t>
  </si>
  <si>
    <t>26855</t>
  </si>
  <si>
    <t>140536</t>
  </si>
  <si>
    <t>721743</t>
  </si>
  <si>
    <t>760325</t>
  </si>
  <si>
    <t>9063302</t>
  </si>
  <si>
    <t>823443</t>
  </si>
  <si>
    <t>835332</t>
  </si>
  <si>
    <t>841121</t>
  </si>
  <si>
    <t>899807</t>
  </si>
  <si>
    <t>620115</t>
  </si>
  <si>
    <t>822911</t>
  </si>
  <si>
    <t>9015394</t>
  </si>
  <si>
    <t>664600</t>
  </si>
  <si>
    <t>710802</t>
  </si>
  <si>
    <t>726117</t>
  </si>
  <si>
    <t>23297</t>
  </si>
  <si>
    <t>23448</t>
  </si>
  <si>
    <t>23519</t>
  </si>
  <si>
    <t>23609</t>
  </si>
  <si>
    <t>23611</t>
  </si>
  <si>
    <t>23871</t>
  </si>
  <si>
    <t>24463</t>
  </si>
  <si>
    <t>24664</t>
  </si>
  <si>
    <t>41863</t>
  </si>
  <si>
    <t>184747</t>
  </si>
  <si>
    <t>639936</t>
  </si>
  <si>
    <t>647929</t>
  </si>
  <si>
    <t>650352</t>
  </si>
  <si>
    <t>682970</t>
  </si>
  <si>
    <t>684354</t>
  </si>
  <si>
    <t>687419</t>
  </si>
  <si>
    <t>688044</t>
  </si>
  <si>
    <t>689014</t>
  </si>
  <si>
    <t>696550</t>
  </si>
  <si>
    <t>712674</t>
  </si>
  <si>
    <t>716925</t>
  </si>
  <si>
    <t>728773</t>
  </si>
  <si>
    <t>729408</t>
  </si>
  <si>
    <t>749326</t>
  </si>
  <si>
    <t>753772</t>
  </si>
  <si>
    <t>769030</t>
  </si>
  <si>
    <t>769437</t>
  </si>
  <si>
    <t>772359</t>
  </si>
  <si>
    <t>776438</t>
  </si>
  <si>
    <t>778242</t>
  </si>
  <si>
    <t>787849</t>
  </si>
  <si>
    <t>788665</t>
  </si>
  <si>
    <t>798008</t>
  </si>
  <si>
    <t>799862</t>
  </si>
  <si>
    <t>801562</t>
  </si>
  <si>
    <t>825564</t>
  </si>
  <si>
    <t>828957</t>
  </si>
  <si>
    <t>828970</t>
  </si>
  <si>
    <t>837230</t>
  </si>
  <si>
    <t>839240</t>
  </si>
  <si>
    <t>848382</t>
  </si>
  <si>
    <t>854196</t>
  </si>
  <si>
    <t>861947</t>
  </si>
  <si>
    <t>862738</t>
  </si>
  <si>
    <t>870084</t>
  </si>
  <si>
    <t>870844</t>
  </si>
  <si>
    <t>871890</t>
  </si>
  <si>
    <t>875739</t>
  </si>
  <si>
    <t>884394</t>
  </si>
  <si>
    <t>889379</t>
  </si>
  <si>
    <t>889407</t>
  </si>
  <si>
    <t>892685</t>
  </si>
  <si>
    <t>892839</t>
  </si>
  <si>
    <t>894063</t>
  </si>
  <si>
    <t>894356</t>
  </si>
  <si>
    <t>9001163</t>
  </si>
  <si>
    <t>9003574</t>
  </si>
  <si>
    <t>9003627</t>
  </si>
  <si>
    <t>9004687</t>
  </si>
  <si>
    <t>9006400</t>
  </si>
  <si>
    <t>9013956</t>
  </si>
  <si>
    <t>9015642</t>
  </si>
  <si>
    <t>9020763</t>
  </si>
  <si>
    <t>9028683</t>
  </si>
  <si>
    <t>9029861</t>
  </si>
  <si>
    <t>9043529</t>
  </si>
  <si>
    <t>9052803</t>
  </si>
  <si>
    <t>9052885</t>
  </si>
  <si>
    <t>9057989</t>
  </si>
  <si>
    <t>9061189</t>
  </si>
  <si>
    <t>9068905</t>
  </si>
  <si>
    <t>9070743</t>
  </si>
  <si>
    <t>9080286</t>
  </si>
  <si>
    <t>9083363</t>
  </si>
  <si>
    <t>9083366</t>
  </si>
  <si>
    <t>24312</t>
  </si>
  <si>
    <t>24324</t>
  </si>
  <si>
    <t>25932</t>
  </si>
  <si>
    <t>28056</t>
  </si>
  <si>
    <t>159885</t>
  </si>
  <si>
    <t>565353</t>
  </si>
  <si>
    <t>608196</t>
  </si>
  <si>
    <t>648162</t>
  </si>
  <si>
    <t>657873</t>
  </si>
  <si>
    <t>678318</t>
  </si>
  <si>
    <t>685588</t>
  </si>
  <si>
    <t>687687</t>
  </si>
  <si>
    <t>717247</t>
  </si>
  <si>
    <t>725363</t>
  </si>
  <si>
    <t>728577</t>
  </si>
  <si>
    <t>730712</t>
  </si>
  <si>
    <t>776791</t>
  </si>
  <si>
    <t>786264</t>
  </si>
  <si>
    <t>796407</t>
  </si>
  <si>
    <t>801962</t>
  </si>
  <si>
    <t>808094</t>
  </si>
  <si>
    <t>809008</t>
  </si>
  <si>
    <t>823483</t>
  </si>
  <si>
    <t>836056</t>
  </si>
  <si>
    <t>839478</t>
  </si>
  <si>
    <t>863742</t>
  </si>
  <si>
    <t>867739</t>
  </si>
  <si>
    <t>871476</t>
  </si>
  <si>
    <t>880501</t>
  </si>
  <si>
    <t>884929</t>
  </si>
  <si>
    <t>886627</t>
  </si>
  <si>
    <t>890117</t>
  </si>
  <si>
    <t>897311</t>
  </si>
  <si>
    <t>9009562</t>
  </si>
  <si>
    <t>9013422</t>
  </si>
  <si>
    <t>9017037</t>
  </si>
  <si>
    <t>9019502</t>
  </si>
  <si>
    <t>9027037</t>
  </si>
  <si>
    <t>9049289</t>
  </si>
  <si>
    <t>9063901</t>
  </si>
  <si>
    <t>9063906</t>
  </si>
  <si>
    <t>9078954</t>
  </si>
  <si>
    <t>24118</t>
  </si>
  <si>
    <t>24170</t>
  </si>
  <si>
    <t>24197</t>
  </si>
  <si>
    <t>24208</t>
  </si>
  <si>
    <t>24211</t>
  </si>
  <si>
    <t>24516</t>
  </si>
  <si>
    <t>24935</t>
  </si>
  <si>
    <t>26230</t>
  </si>
  <si>
    <t>27995</t>
  </si>
  <si>
    <t>182830</t>
  </si>
  <si>
    <t>601532</t>
  </si>
  <si>
    <t>680958</t>
  </si>
  <si>
    <t>687111</t>
  </si>
  <si>
    <t>687119</t>
  </si>
  <si>
    <t>687445</t>
  </si>
  <si>
    <t>693938</t>
  </si>
  <si>
    <t>693939</t>
  </si>
  <si>
    <t>695109</t>
  </si>
  <si>
    <t>705283</t>
  </si>
  <si>
    <t>712663</t>
  </si>
  <si>
    <t>713028</t>
  </si>
  <si>
    <t>716911</t>
  </si>
  <si>
    <t>726149</t>
  </si>
  <si>
    <t>727680</t>
  </si>
  <si>
    <t>732644</t>
  </si>
  <si>
    <t>744249</t>
  </si>
  <si>
    <t>755848</t>
  </si>
  <si>
    <t>756486</t>
  </si>
  <si>
    <t>768989</t>
  </si>
  <si>
    <t>771555</t>
  </si>
  <si>
    <t>774174</t>
  </si>
  <si>
    <t>774689</t>
  </si>
  <si>
    <t>785741</t>
  </si>
  <si>
    <t>807505</t>
  </si>
  <si>
    <t>809011</t>
  </si>
  <si>
    <t>825775</t>
  </si>
  <si>
    <t>850250</t>
  </si>
  <si>
    <t>854713</t>
  </si>
  <si>
    <t>861052</t>
  </si>
  <si>
    <t>862486</t>
  </si>
  <si>
    <t>871849</t>
  </si>
  <si>
    <t>879053</t>
  </si>
  <si>
    <t>880691</t>
  </si>
  <si>
    <t>895018</t>
  </si>
  <si>
    <t>898185</t>
  </si>
  <si>
    <t>9001741</t>
  </si>
  <si>
    <t>9001753</t>
  </si>
  <si>
    <t>9005113</t>
  </si>
  <si>
    <t>9005240</t>
  </si>
  <si>
    <t>9023424</t>
  </si>
  <si>
    <t>9036797</t>
  </si>
  <si>
    <t>9050235</t>
  </si>
  <si>
    <t>9052653</t>
  </si>
  <si>
    <t>9053812</t>
  </si>
  <si>
    <t>9059760</t>
  </si>
  <si>
    <t>9062743</t>
  </si>
  <si>
    <t>9065427</t>
  </si>
  <si>
    <t>9068098</t>
  </si>
  <si>
    <t>9074677</t>
  </si>
  <si>
    <t>9076385</t>
  </si>
  <si>
    <t>23306</t>
  </si>
  <si>
    <t>192570</t>
  </si>
  <si>
    <t>569191</t>
  </si>
  <si>
    <t>687192</t>
  </si>
  <si>
    <t>700946</t>
  </si>
  <si>
    <t>741029</t>
  </si>
  <si>
    <t>798095</t>
  </si>
  <si>
    <t>816813</t>
  </si>
  <si>
    <t>826520</t>
  </si>
  <si>
    <t>860546</t>
  </si>
  <si>
    <t>870392</t>
  </si>
  <si>
    <t>895978</t>
  </si>
  <si>
    <t>9043210</t>
  </si>
  <si>
    <t>9050740</t>
  </si>
  <si>
    <t>9055522</t>
  </si>
  <si>
    <t>9080263</t>
  </si>
  <si>
    <t>27439</t>
  </si>
  <si>
    <t>27970</t>
  </si>
  <si>
    <t>204408</t>
  </si>
  <si>
    <t>640022</t>
  </si>
  <si>
    <t>651789</t>
  </si>
  <si>
    <t>653609</t>
  </si>
  <si>
    <t>664949</t>
  </si>
  <si>
    <t>665069</t>
  </si>
  <si>
    <t>705374</t>
  </si>
  <si>
    <t>710136</t>
  </si>
  <si>
    <t>724449</t>
  </si>
  <si>
    <t>725250</t>
  </si>
  <si>
    <t>739961</t>
  </si>
  <si>
    <t>741150</t>
  </si>
  <si>
    <t>752702</t>
  </si>
  <si>
    <t>778868</t>
  </si>
  <si>
    <t>786024</t>
  </si>
  <si>
    <t>793222</t>
  </si>
  <si>
    <t>836795</t>
  </si>
  <si>
    <t>863342</t>
  </si>
  <si>
    <t>863352</t>
  </si>
  <si>
    <t>865513</t>
  </si>
  <si>
    <t>870079</t>
  </si>
  <si>
    <t>881228</t>
  </si>
  <si>
    <t>894928</t>
  </si>
  <si>
    <t>896259</t>
  </si>
  <si>
    <t>897536</t>
  </si>
  <si>
    <t>897888</t>
  </si>
  <si>
    <t>9040091</t>
  </si>
  <si>
    <t>9044888</t>
  </si>
  <si>
    <t>9044894</t>
  </si>
  <si>
    <t>9048419</t>
  </si>
  <si>
    <t>9057894</t>
  </si>
  <si>
    <t>9066241</t>
  </si>
  <si>
    <t>9080170</t>
  </si>
  <si>
    <t>23588</t>
  </si>
  <si>
    <t>24410</t>
  </si>
  <si>
    <t>635183</t>
  </si>
  <si>
    <t>690195</t>
  </si>
  <si>
    <t>698754</t>
  </si>
  <si>
    <t>702771</t>
  </si>
  <si>
    <t>713594</t>
  </si>
  <si>
    <t>717354</t>
  </si>
  <si>
    <t>724564</t>
  </si>
  <si>
    <t>748684</t>
  </si>
  <si>
    <t>780516</t>
  </si>
  <si>
    <t>800655</t>
  </si>
  <si>
    <t>806550</t>
  </si>
  <si>
    <t>808294</t>
  </si>
  <si>
    <t>808666</t>
  </si>
  <si>
    <t>813379</t>
  </si>
  <si>
    <t>815821</t>
  </si>
  <si>
    <t>840735</t>
  </si>
  <si>
    <t>857188</t>
  </si>
  <si>
    <t>861027</t>
  </si>
  <si>
    <t>873877</t>
  </si>
  <si>
    <t>881030</t>
  </si>
  <si>
    <t>888543</t>
  </si>
  <si>
    <t>890773</t>
  </si>
  <si>
    <t>895994</t>
  </si>
  <si>
    <t>9005002</t>
  </si>
  <si>
    <t>9006118</t>
  </si>
  <si>
    <t>9009633</t>
  </si>
  <si>
    <t>9013232</t>
  </si>
  <si>
    <t>9034036</t>
  </si>
  <si>
    <t>9039005</t>
  </si>
  <si>
    <t>9052095</t>
  </si>
  <si>
    <t>9058227</t>
  </si>
  <si>
    <t>9060859</t>
  </si>
  <si>
    <t>9073726</t>
  </si>
  <si>
    <t>9080311</t>
  </si>
  <si>
    <t>23496</t>
  </si>
  <si>
    <t>23674</t>
  </si>
  <si>
    <t>24044</t>
  </si>
  <si>
    <t>24047</t>
  </si>
  <si>
    <t>24786</t>
  </si>
  <si>
    <t>147491</t>
  </si>
  <si>
    <t>163599</t>
  </si>
  <si>
    <t>653044</t>
  </si>
  <si>
    <t>682208</t>
  </si>
  <si>
    <t>682751</t>
  </si>
  <si>
    <t>728582</t>
  </si>
  <si>
    <t>728775</t>
  </si>
  <si>
    <t>753578</t>
  </si>
  <si>
    <t>760448</t>
  </si>
  <si>
    <t>775410</t>
  </si>
  <si>
    <t>775418</t>
  </si>
  <si>
    <t>793546</t>
  </si>
  <si>
    <t>803047</t>
  </si>
  <si>
    <t>815146</t>
  </si>
  <si>
    <t>822021</t>
  </si>
  <si>
    <t>836381</t>
  </si>
  <si>
    <t>863743</t>
  </si>
  <si>
    <t>871533</t>
  </si>
  <si>
    <t>891706</t>
  </si>
  <si>
    <t>896099</t>
  </si>
  <si>
    <t>9018083</t>
  </si>
  <si>
    <t>9020540</t>
  </si>
  <si>
    <t>9068471</t>
  </si>
  <si>
    <t>9077375</t>
  </si>
  <si>
    <t>9079116</t>
  </si>
  <si>
    <t>24543</t>
  </si>
  <si>
    <t>24545</t>
  </si>
  <si>
    <t>24565</t>
  </si>
  <si>
    <t>24589</t>
  </si>
  <si>
    <t>24622</t>
  </si>
  <si>
    <t>24644</t>
  </si>
  <si>
    <t>24934</t>
  </si>
  <si>
    <t>25191</t>
  </si>
  <si>
    <t>26095</t>
  </si>
  <si>
    <t>26743</t>
  </si>
  <si>
    <t>41945</t>
  </si>
  <si>
    <t>148427</t>
  </si>
  <si>
    <t>156583</t>
  </si>
  <si>
    <t>167630</t>
  </si>
  <si>
    <t>584351</t>
  </si>
  <si>
    <t>597265</t>
  </si>
  <si>
    <t>600420</t>
  </si>
  <si>
    <t>636058</t>
  </si>
  <si>
    <t>639340</t>
  </si>
  <si>
    <t>644358</t>
  </si>
  <si>
    <t>674597</t>
  </si>
  <si>
    <t>685188</t>
  </si>
  <si>
    <t>686973</t>
  </si>
  <si>
    <t>688743</t>
  </si>
  <si>
    <t>692025</t>
  </si>
  <si>
    <t>705366</t>
  </si>
  <si>
    <t>713826</t>
  </si>
  <si>
    <t>716467</t>
  </si>
  <si>
    <t>721758</t>
  </si>
  <si>
    <t>722494</t>
  </si>
  <si>
    <t>725267</t>
  </si>
  <si>
    <t>741430</t>
  </si>
  <si>
    <t>744134</t>
  </si>
  <si>
    <t>751067</t>
  </si>
  <si>
    <t>751347</t>
  </si>
  <si>
    <t>752728</t>
  </si>
  <si>
    <t>753482</t>
  </si>
  <si>
    <t>760940</t>
  </si>
  <si>
    <t>760983</t>
  </si>
  <si>
    <t>763311</t>
  </si>
  <si>
    <t>779397</t>
  </si>
  <si>
    <t>798215</t>
  </si>
  <si>
    <t>798265</t>
  </si>
  <si>
    <t>798872</t>
  </si>
  <si>
    <t>799028</t>
  </si>
  <si>
    <t>799049</t>
  </si>
  <si>
    <t>813888</t>
  </si>
  <si>
    <t>816698</t>
  </si>
  <si>
    <t>816709</t>
  </si>
  <si>
    <t>822369</t>
  </si>
  <si>
    <t>824445</t>
  </si>
  <si>
    <t>825637</t>
  </si>
  <si>
    <t>830210</t>
  </si>
  <si>
    <t>834377</t>
  </si>
  <si>
    <t>848461</t>
  </si>
  <si>
    <t>867697</t>
  </si>
  <si>
    <t>872611</t>
  </si>
  <si>
    <t>873862</t>
  </si>
  <si>
    <t>875960</t>
  </si>
  <si>
    <t>885317</t>
  </si>
  <si>
    <t>897808</t>
  </si>
  <si>
    <t>9004962</t>
  </si>
  <si>
    <t>9011001</t>
  </si>
  <si>
    <t>9011669</t>
  </si>
  <si>
    <t>9011676</t>
  </si>
  <si>
    <t>9019379</t>
  </si>
  <si>
    <t>9021911</t>
  </si>
  <si>
    <t>9022658</t>
  </si>
  <si>
    <t>9026723</t>
  </si>
  <si>
    <t>9045980</t>
  </si>
  <si>
    <t>9046946</t>
  </si>
  <si>
    <t>9050316</t>
  </si>
  <si>
    <t>9055694</t>
  </si>
  <si>
    <t>9055705</t>
  </si>
  <si>
    <t>9055742</t>
  </si>
  <si>
    <t>9061643</t>
  </si>
  <si>
    <t>9066515</t>
  </si>
  <si>
    <t>9067707</t>
  </si>
  <si>
    <t>9068398</t>
  </si>
  <si>
    <t>9068883</t>
  </si>
  <si>
    <t>9087514</t>
  </si>
  <si>
    <t>9004748</t>
  </si>
  <si>
    <t>9041280</t>
  </si>
  <si>
    <t>9087462</t>
  </si>
  <si>
    <t>813858</t>
  </si>
  <si>
    <t>849065</t>
  </si>
  <si>
    <t>9083507</t>
  </si>
  <si>
    <t>9087888</t>
  </si>
  <si>
    <t>9088221</t>
  </si>
  <si>
    <t>9017747</t>
  </si>
  <si>
    <t>9044201</t>
  </si>
  <si>
    <t>9085552</t>
  </si>
  <si>
    <t>9085698</t>
  </si>
  <si>
    <t>9086597</t>
  </si>
  <si>
    <t>9089167</t>
  </si>
  <si>
    <t>9091518</t>
  </si>
  <si>
    <t>9093121</t>
  </si>
  <si>
    <t>9093175</t>
  </si>
  <si>
    <t>9095501</t>
  </si>
  <si>
    <t>9095504</t>
  </si>
  <si>
    <t>9095509</t>
  </si>
  <si>
    <t>687811</t>
  </si>
  <si>
    <t>878972</t>
  </si>
  <si>
    <t>9050025</t>
  </si>
  <si>
    <t>9089418</t>
  </si>
  <si>
    <t>857766</t>
  </si>
  <si>
    <t>874556</t>
  </si>
  <si>
    <t>879822</t>
  </si>
  <si>
    <t>9085771</t>
  </si>
  <si>
    <t>9092638</t>
  </si>
  <si>
    <t>9098579</t>
  </si>
  <si>
    <t>9058988</t>
  </si>
  <si>
    <t>9085728</t>
  </si>
  <si>
    <t>9091200</t>
  </si>
  <si>
    <t>9092977</t>
  </si>
  <si>
    <t>9093579</t>
  </si>
  <si>
    <t>9094035</t>
  </si>
  <si>
    <t>9096333</t>
  </si>
  <si>
    <t>9098462</t>
  </si>
  <si>
    <t>9050744</t>
  </si>
  <si>
    <t>9091646</t>
  </si>
  <si>
    <t>9093844</t>
  </si>
  <si>
    <t>674842</t>
  </si>
  <si>
    <t>9013445</t>
  </si>
  <si>
    <t>9087830</t>
  </si>
  <si>
    <t>9088677</t>
  </si>
  <si>
    <t>9088678</t>
  </si>
  <si>
    <t>9092952</t>
  </si>
  <si>
    <t>9092980</t>
  </si>
  <si>
    <t>9095394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</si>
</sst>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0.00000000000"/>
    <numFmt numFmtId="166" formatCode="0.000"/>
  </numFmts>
  <fonts count="10">
    <font>
      <sz val="10"/>
      <name val="Arial"/>
      <charset val="134"/>
    </font>
    <font>
      <sz val="10"/>
      <name val="Arial"/>
      <family val="2"/>
    </font>
    <font>
      <sz val="10"/>
      <name val="Times New Roman"/>
      <family val="1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</font>
    <font>
      <sz val="10"/>
      <color theme="0"/>
      <name val="Arial"/>
      <family val="2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Arial"/>
      <charset val="134"/>
    </font>
  </fonts>
  <fills count="12">
    <fill>
      <patternFill patternType="none"/>
    </fill>
    <fill>
      <patternFill patternType="gray125"/>
    </fill>
    <fill>
      <patternFill patternType="solid">
        <fgColor rgb="FF99CC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-0.499984740745262"/>
        <bgColor rgb="FF000000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5" borderId="1" applyNumberFormat="0" applyAlignment="0" applyProtection="0"/>
  </cellStyleXfs>
  <cellXfs count="48">
    <xf numFmtId="0" fontId="0" fillId="0" borderId="0" xfId="0"/>
    <xf numFmtId="49" fontId="1" fillId="0" borderId="0" xfId="0" applyNumberFormat="1" applyFont="1"/>
    <xf numFmtId="0" fontId="1" fillId="0" borderId="0" xfId="0" applyFont="1"/>
    <xf numFmtId="1" fontId="1" fillId="0" borderId="0" xfId="0" applyNumberFormat="1" applyFont="1"/>
    <xf numFmtId="2" fontId="1" fillId="0" borderId="0" xfId="0" applyNumberFormat="1" applyFont="1"/>
    <xf numFmtId="1" fontId="1" fillId="2" borderId="0" xfId="0" applyNumberFormat="1" applyFont="1" applyFill="1"/>
    <xf numFmtId="49" fontId="1" fillId="2" borderId="0" xfId="0" applyNumberFormat="1" applyFont="1" applyFill="1"/>
    <xf numFmtId="2" fontId="1" fillId="2" borderId="0" xfId="1" applyNumberFormat="1" applyFont="1" applyFill="1" applyAlignment="1"/>
    <xf numFmtId="2" fontId="1" fillId="2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64" fontId="1" fillId="0" borderId="0" xfId="1" applyFont="1" applyFill="1" applyAlignment="1"/>
    <xf numFmtId="165" fontId="1" fillId="0" borderId="0" xfId="0" applyNumberFormat="1" applyFont="1"/>
    <xf numFmtId="0" fontId="4" fillId="6" borderId="1" xfId="3" applyFont="1" applyFill="1" applyAlignment="1">
      <alignment horizontal="center"/>
    </xf>
    <xf numFmtId="164" fontId="4" fillId="6" borderId="1" xfId="3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0" xfId="0" applyFont="1" applyFill="1"/>
    <xf numFmtId="164" fontId="1" fillId="8" borderId="0" xfId="1" applyFont="1" applyFill="1"/>
    <xf numFmtId="0" fontId="1" fillId="9" borderId="0" xfId="0" applyFont="1" applyFill="1" applyAlignment="1">
      <alignment horizontal="center"/>
    </xf>
    <xf numFmtId="0" fontId="1" fillId="9" borderId="0" xfId="0" applyFont="1" applyFill="1"/>
    <xf numFmtId="164" fontId="1" fillId="9" borderId="0" xfId="1" applyFont="1" applyFill="1"/>
    <xf numFmtId="164" fontId="4" fillId="6" borderId="2" xfId="3" applyNumberFormat="1" applyFont="1" applyFill="1" applyBorder="1" applyAlignment="1"/>
    <xf numFmtId="164" fontId="4" fillId="6" borderId="3" xfId="3" applyNumberFormat="1" applyFont="1" applyFill="1" applyBorder="1" applyAlignment="1"/>
    <xf numFmtId="1" fontId="1" fillId="9" borderId="0" xfId="0" applyNumberFormat="1" applyFont="1" applyFill="1"/>
    <xf numFmtId="49" fontId="1" fillId="9" borderId="0" xfId="0" applyNumberFormat="1" applyFont="1" applyFill="1"/>
    <xf numFmtId="2" fontId="1" fillId="9" borderId="0" xfId="0" applyNumberFormat="1" applyFont="1" applyFill="1"/>
    <xf numFmtId="164" fontId="0" fillId="0" borderId="0" xfId="0" applyNumberFormat="1"/>
    <xf numFmtId="1" fontId="1" fillId="10" borderId="0" xfId="0" applyNumberFormat="1" applyFont="1" applyFill="1"/>
    <xf numFmtId="49" fontId="1" fillId="10" borderId="0" xfId="0" applyNumberFormat="1" applyFont="1" applyFill="1"/>
    <xf numFmtId="2" fontId="1" fillId="10" borderId="0" xfId="0" applyNumberFormat="1" applyFont="1" applyFill="1"/>
    <xf numFmtId="0" fontId="1" fillId="10" borderId="0" xfId="0" applyFont="1" applyFill="1"/>
    <xf numFmtId="49" fontId="1" fillId="9" borderId="0" xfId="0" applyNumberFormat="1" applyFont="1" applyFill="1" applyAlignment="1">
      <alignment horizontal="center"/>
    </xf>
    <xf numFmtId="49" fontId="4" fillId="7" borderId="1" xfId="3" applyNumberFormat="1" applyFont="1" applyFill="1" applyAlignment="1">
      <alignment horizontal="center"/>
    </xf>
    <xf numFmtId="49" fontId="1" fillId="8" borderId="0" xfId="0" applyNumberFormat="1" applyFont="1" applyFill="1" applyAlignment="1">
      <alignment horizontal="center"/>
    </xf>
    <xf numFmtId="49" fontId="0" fillId="0" borderId="0" xfId="0" applyNumberFormat="1"/>
    <xf numFmtId="166" fontId="1" fillId="0" borderId="0" xfId="0" applyNumberFormat="1" applyFont="1"/>
    <xf numFmtId="0" fontId="6" fillId="11" borderId="0" xfId="0" applyFont="1" applyFill="1"/>
    <xf numFmtId="0" fontId="7" fillId="0" borderId="0" xfId="0" applyFont="1" applyAlignment="1">
      <alignment horizontal="center" vertical="top"/>
    </xf>
    <xf numFmtId="49" fontId="7" fillId="0" borderId="0" xfId="0" applyNumberFormat="1" applyFont="1" applyAlignment="1">
      <alignment horizontal="center"/>
    </xf>
    <xf numFmtId="4" fontId="8" fillId="0" borderId="0" xfId="0" applyNumberFormat="1" applyFont="1" applyAlignment="1">
      <alignment horizontal="right"/>
    </xf>
    <xf numFmtId="49" fontId="8" fillId="0" borderId="0" xfId="0" applyNumberFormat="1" applyFont="1" applyAlignment="1">
      <alignment horizontal="right"/>
    </xf>
    <xf numFmtId="49" fontId="5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164" fontId="4" fillId="6" borderId="2" xfId="3" applyNumberFormat="1" applyFont="1" applyFill="1" applyBorder="1" applyAlignment="1">
      <alignment horizontal="center"/>
    </xf>
    <xf numFmtId="164" fontId="4" fillId="6" borderId="3" xfId="3" applyNumberFormat="1" applyFont="1" applyFill="1" applyBorder="1" applyAlignment="1">
      <alignment horizontal="center"/>
    </xf>
    <xf numFmtId="0" fontId="1" fillId="0" borderId="0" xfId="0" applyFont="1" applyFill="1"/>
  </cellXfs>
  <cellStyles count="4">
    <cellStyle name="Millares" xfId="1" builtinId="3"/>
    <cellStyle name="Normal" xfId="0" builtinId="0"/>
    <cellStyle name="Normal 2" xfId="2" xr:uid="{00000000-0005-0000-0000-000002000000}"/>
    <cellStyle name="Salida" xfId="3" builtinId="21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46"/>
  <sheetViews>
    <sheetView tabSelected="1" topLeftCell="F1" zoomScale="115" zoomScaleNormal="115" workbookViewId="0">
      <selection activeCell="R1" sqref="R1:R1048576"/>
    </sheetView>
  </sheetViews>
  <sheetFormatPr baseColWidth="10" defaultColWidth="9.109375" defaultRowHeight="13.2"/>
  <cols>
    <col min="1" max="1" width="9.6640625" style="3" bestFit="1" customWidth="1"/>
    <col min="2" max="2" width="15.109375" style="3" bestFit="1" customWidth="1"/>
    <col min="3" max="3" width="14.88671875" style="1" bestFit="1" customWidth="1"/>
    <col min="4" max="4" width="31.5546875" style="1" bestFit="1" customWidth="1"/>
    <col min="5" max="5" width="22.33203125" style="1" bestFit="1" customWidth="1"/>
    <col min="6" max="6" width="19" style="1" bestFit="1" customWidth="1"/>
    <col min="7" max="7" width="19.88671875" style="1" bestFit="1" customWidth="1"/>
    <col min="8" max="8" width="10.88671875" style="1" bestFit="1" customWidth="1"/>
    <col min="9" max="9" width="19.21875" style="35" bestFit="1" customWidth="1"/>
    <col min="10" max="10" width="16.33203125" style="4" bestFit="1" customWidth="1"/>
    <col min="11" max="11" width="16.5546875" style="4" bestFit="1" customWidth="1"/>
    <col min="12" max="12" width="12.109375" style="4" bestFit="1" customWidth="1"/>
    <col min="13" max="14" width="12.6640625" style="4" bestFit="1" customWidth="1"/>
    <col min="15" max="15" width="11.44140625" style="2" bestFit="1" customWidth="1"/>
    <col min="16" max="16" width="13.88671875" style="47" bestFit="1" customWidth="1"/>
    <col min="17" max="17" width="17.109375" style="2" bestFit="1" customWidth="1"/>
    <col min="18" max="18" width="27.5546875" style="47" bestFit="1" customWidth="1"/>
    <col min="19" max="16384" width="9.109375" style="2"/>
  </cols>
  <sheetData>
    <row r="1" spans="1:18">
      <c r="A1" s="36" t="s">
        <v>0</v>
      </c>
      <c r="B1" s="36" t="s">
        <v>1</v>
      </c>
      <c r="C1" s="36" t="s">
        <v>2</v>
      </c>
      <c r="D1" s="36" t="s">
        <v>24</v>
      </c>
      <c r="E1" s="36" t="s">
        <v>3</v>
      </c>
      <c r="F1" s="36" t="s">
        <v>4</v>
      </c>
      <c r="G1" s="36" t="s">
        <v>5</v>
      </c>
      <c r="H1" s="36" t="s">
        <v>6</v>
      </c>
      <c r="I1" s="36" t="s">
        <v>105</v>
      </c>
      <c r="J1" s="36" t="s">
        <v>106</v>
      </c>
      <c r="K1" s="36" t="s">
        <v>14</v>
      </c>
      <c r="L1" s="36" t="s">
        <v>7</v>
      </c>
      <c r="M1" s="36" t="s">
        <v>8</v>
      </c>
      <c r="N1" s="36" t="s">
        <v>9</v>
      </c>
      <c r="O1" s="36" t="s">
        <v>14</v>
      </c>
      <c r="P1" s="36" t="s">
        <v>14</v>
      </c>
      <c r="Q1" s="36" t="s">
        <v>20</v>
      </c>
      <c r="R1" s="36" t="s">
        <v>21</v>
      </c>
    </row>
    <row r="2" spans="1:18">
      <c r="A2" s="2">
        <v>1</v>
      </c>
      <c r="B2" s="2">
        <v>1</v>
      </c>
      <c r="C2" s="38" t="s">
        <v>107</v>
      </c>
      <c r="D2" s="4"/>
      <c r="E2" s="43" t="s">
        <v>698</v>
      </c>
      <c r="F2" s="2">
        <v>20250731</v>
      </c>
      <c r="G2" s="2">
        <v>20250731</v>
      </c>
      <c r="H2" s="2">
        <v>20250731</v>
      </c>
      <c r="I2" s="44"/>
      <c r="M2" s="40" t="s">
        <v>182</v>
      </c>
      <c r="N2" s="42"/>
      <c r="P2" s="47">
        <v>307030</v>
      </c>
      <c r="R2" s="47" t="s">
        <v>699</v>
      </c>
    </row>
    <row r="3" spans="1:18">
      <c r="A3" s="2">
        <v>1</v>
      </c>
      <c r="B3" s="2">
        <v>2</v>
      </c>
      <c r="C3" s="38" t="s">
        <v>107</v>
      </c>
      <c r="D3" s="4"/>
      <c r="E3" s="43" t="s">
        <v>698</v>
      </c>
      <c r="F3" s="2">
        <v>20250731</v>
      </c>
      <c r="G3" s="2">
        <v>20250731</v>
      </c>
      <c r="H3" s="2">
        <v>20250731</v>
      </c>
      <c r="I3" s="44"/>
      <c r="M3" s="40" t="s">
        <v>183</v>
      </c>
      <c r="N3" s="42"/>
      <c r="P3" s="47">
        <v>307030</v>
      </c>
      <c r="R3" s="47" t="s">
        <v>699</v>
      </c>
    </row>
    <row r="4" spans="1:18">
      <c r="A4" s="2">
        <v>1</v>
      </c>
      <c r="B4" s="2">
        <v>3</v>
      </c>
      <c r="C4" s="38" t="s">
        <v>108</v>
      </c>
      <c r="D4" s="4"/>
      <c r="E4" s="43" t="s">
        <v>698</v>
      </c>
      <c r="F4" s="2">
        <v>20250731</v>
      </c>
      <c r="G4" s="2">
        <v>20250731</v>
      </c>
      <c r="H4" s="2">
        <v>20250731</v>
      </c>
      <c r="I4" s="44"/>
      <c r="M4" s="40" t="s">
        <v>152</v>
      </c>
      <c r="N4" s="42"/>
      <c r="P4" s="47">
        <v>307030</v>
      </c>
      <c r="R4" s="47" t="s">
        <v>699</v>
      </c>
    </row>
    <row r="5" spans="1:18">
      <c r="A5" s="2">
        <v>1</v>
      </c>
      <c r="B5" s="2">
        <v>4</v>
      </c>
      <c r="C5" s="38" t="s">
        <v>108</v>
      </c>
      <c r="D5" s="4"/>
      <c r="E5" s="43" t="s">
        <v>698</v>
      </c>
      <c r="F5" s="2">
        <v>20250731</v>
      </c>
      <c r="G5" s="2">
        <v>20250731</v>
      </c>
      <c r="H5" s="2">
        <v>20250731</v>
      </c>
      <c r="I5" s="44"/>
      <c r="M5" s="40" t="s">
        <v>152</v>
      </c>
      <c r="N5" s="42"/>
      <c r="P5" s="47">
        <v>307030</v>
      </c>
      <c r="R5" s="47" t="s">
        <v>699</v>
      </c>
    </row>
    <row r="6" spans="1:18">
      <c r="A6" s="2">
        <v>1</v>
      </c>
      <c r="B6" s="2">
        <v>5</v>
      </c>
      <c r="C6" s="38" t="s">
        <v>108</v>
      </c>
      <c r="D6" s="4"/>
      <c r="E6" s="43" t="s">
        <v>698</v>
      </c>
      <c r="F6" s="2">
        <v>20250731</v>
      </c>
      <c r="G6" s="2">
        <v>20250731</v>
      </c>
      <c r="H6" s="2">
        <v>20250731</v>
      </c>
      <c r="I6" s="44"/>
      <c r="M6" s="40" t="s">
        <v>152</v>
      </c>
      <c r="N6" s="42"/>
      <c r="P6" s="47">
        <v>307030</v>
      </c>
      <c r="R6" s="47" t="s">
        <v>699</v>
      </c>
    </row>
    <row r="7" spans="1:18">
      <c r="A7" s="2">
        <v>1</v>
      </c>
      <c r="B7" s="2">
        <v>6</v>
      </c>
      <c r="C7" s="38" t="s">
        <v>108</v>
      </c>
      <c r="D7" s="4"/>
      <c r="E7" s="43" t="s">
        <v>698</v>
      </c>
      <c r="F7" s="2">
        <v>20250731</v>
      </c>
      <c r="G7" s="2">
        <v>20250731</v>
      </c>
      <c r="H7" s="2">
        <v>20250731</v>
      </c>
      <c r="I7" s="44"/>
      <c r="M7" s="40" t="s">
        <v>140</v>
      </c>
      <c r="N7" s="42"/>
      <c r="P7" s="47">
        <v>307030</v>
      </c>
      <c r="R7" s="47" t="s">
        <v>699</v>
      </c>
    </row>
    <row r="8" spans="1:18">
      <c r="A8" s="2">
        <v>1</v>
      </c>
      <c r="B8" s="2">
        <v>7</v>
      </c>
      <c r="C8" s="38" t="s">
        <v>108</v>
      </c>
      <c r="D8" s="4"/>
      <c r="E8" s="43" t="s">
        <v>698</v>
      </c>
      <c r="F8" s="2">
        <v>20250731</v>
      </c>
      <c r="G8" s="2">
        <v>20250731</v>
      </c>
      <c r="H8" s="2">
        <v>20250731</v>
      </c>
      <c r="I8" s="44"/>
      <c r="M8" s="40" t="s">
        <v>184</v>
      </c>
      <c r="N8" s="42"/>
      <c r="P8" s="47">
        <v>307030</v>
      </c>
      <c r="R8" s="47" t="s">
        <v>699</v>
      </c>
    </row>
    <row r="9" spans="1:18">
      <c r="A9" s="2">
        <v>1</v>
      </c>
      <c r="B9" s="2">
        <v>8</v>
      </c>
      <c r="C9" s="38" t="s">
        <v>108</v>
      </c>
      <c r="D9" s="4"/>
      <c r="E9" s="43" t="s">
        <v>698</v>
      </c>
      <c r="F9" s="2">
        <v>20250731</v>
      </c>
      <c r="G9" s="2">
        <v>20250731</v>
      </c>
      <c r="H9" s="2">
        <v>20250731</v>
      </c>
      <c r="I9" s="44"/>
      <c r="M9" s="40" t="s">
        <v>152</v>
      </c>
      <c r="N9" s="42"/>
      <c r="P9" s="47">
        <v>307030</v>
      </c>
      <c r="R9" s="47" t="s">
        <v>699</v>
      </c>
    </row>
    <row r="10" spans="1:18">
      <c r="A10" s="2">
        <v>1</v>
      </c>
      <c r="B10" s="2">
        <v>9</v>
      </c>
      <c r="C10" s="38" t="s">
        <v>108</v>
      </c>
      <c r="D10" s="4"/>
      <c r="E10" s="43" t="s">
        <v>698</v>
      </c>
      <c r="F10" s="2">
        <v>20250731</v>
      </c>
      <c r="G10" s="2">
        <v>20250731</v>
      </c>
      <c r="H10" s="2">
        <v>20250731</v>
      </c>
      <c r="I10" s="44"/>
      <c r="M10" s="40" t="s">
        <v>139</v>
      </c>
      <c r="N10" s="42"/>
      <c r="P10" s="47">
        <v>307030</v>
      </c>
      <c r="R10" s="47" t="s">
        <v>699</v>
      </c>
    </row>
    <row r="11" spans="1:18">
      <c r="A11" s="2">
        <v>1</v>
      </c>
      <c r="B11" s="2">
        <v>10</v>
      </c>
      <c r="C11" s="38" t="s">
        <v>108</v>
      </c>
      <c r="D11" s="4"/>
      <c r="E11" s="43" t="s">
        <v>698</v>
      </c>
      <c r="F11" s="2">
        <v>20250731</v>
      </c>
      <c r="G11" s="2">
        <v>20250731</v>
      </c>
      <c r="H11" s="2">
        <v>20250731</v>
      </c>
      <c r="I11" s="44"/>
      <c r="M11" s="40" t="s">
        <v>152</v>
      </c>
      <c r="N11" s="42"/>
      <c r="P11" s="47">
        <v>307030</v>
      </c>
      <c r="R11" s="47" t="s">
        <v>699</v>
      </c>
    </row>
    <row r="12" spans="1:18">
      <c r="A12" s="2">
        <v>1</v>
      </c>
      <c r="B12" s="2">
        <v>11</v>
      </c>
      <c r="C12" s="38" t="s">
        <v>108</v>
      </c>
      <c r="D12" s="4"/>
      <c r="E12" s="43" t="s">
        <v>698</v>
      </c>
      <c r="F12" s="2">
        <v>20250731</v>
      </c>
      <c r="G12" s="2">
        <v>20250731</v>
      </c>
      <c r="H12" s="2">
        <v>20250731</v>
      </c>
      <c r="I12" s="44"/>
      <c r="M12" s="40" t="s">
        <v>139</v>
      </c>
      <c r="N12" s="42"/>
      <c r="P12" s="47">
        <v>307030</v>
      </c>
      <c r="R12" s="47" t="s">
        <v>699</v>
      </c>
    </row>
    <row r="13" spans="1:18">
      <c r="A13" s="2">
        <v>1</v>
      </c>
      <c r="B13" s="2">
        <v>12</v>
      </c>
      <c r="C13" s="38" t="s">
        <v>108</v>
      </c>
      <c r="D13" s="4"/>
      <c r="E13" s="43" t="s">
        <v>698</v>
      </c>
      <c r="F13" s="2">
        <v>20250731</v>
      </c>
      <c r="G13" s="2">
        <v>20250731</v>
      </c>
      <c r="H13" s="2">
        <v>20250731</v>
      </c>
      <c r="I13" s="44"/>
      <c r="M13" s="40" t="s">
        <v>185</v>
      </c>
      <c r="N13" s="42"/>
      <c r="P13" s="47">
        <v>307030</v>
      </c>
      <c r="R13" s="47" t="s">
        <v>699</v>
      </c>
    </row>
    <row r="14" spans="1:18">
      <c r="A14" s="2">
        <v>1</v>
      </c>
      <c r="B14" s="2">
        <v>13</v>
      </c>
      <c r="C14" s="38" t="s">
        <v>108</v>
      </c>
      <c r="D14" s="4"/>
      <c r="E14" s="43" t="s">
        <v>698</v>
      </c>
      <c r="F14" s="2">
        <v>20250731</v>
      </c>
      <c r="G14" s="2">
        <v>20250731</v>
      </c>
      <c r="H14" s="2">
        <v>20250731</v>
      </c>
      <c r="I14" s="44"/>
      <c r="M14" s="40" t="s">
        <v>124</v>
      </c>
      <c r="N14" s="42"/>
      <c r="P14" s="47">
        <v>307030</v>
      </c>
      <c r="R14" s="47" t="s">
        <v>699</v>
      </c>
    </row>
    <row r="15" spans="1:18">
      <c r="A15" s="2">
        <v>1</v>
      </c>
      <c r="B15" s="2">
        <v>14</v>
      </c>
      <c r="C15" s="38" t="s">
        <v>108</v>
      </c>
      <c r="D15" s="4"/>
      <c r="E15" s="43" t="s">
        <v>698</v>
      </c>
      <c r="F15" s="2">
        <v>20250731</v>
      </c>
      <c r="G15" s="2">
        <v>20250731</v>
      </c>
      <c r="H15" s="2">
        <v>20250731</v>
      </c>
      <c r="I15" s="44"/>
      <c r="M15" s="40" t="s">
        <v>129</v>
      </c>
      <c r="N15" s="42"/>
      <c r="P15" s="47">
        <v>307030</v>
      </c>
      <c r="R15" s="47" t="s">
        <v>699</v>
      </c>
    </row>
    <row r="16" spans="1:18">
      <c r="A16" s="2">
        <v>1</v>
      </c>
      <c r="B16" s="2">
        <v>15</v>
      </c>
      <c r="C16" s="38" t="s">
        <v>109</v>
      </c>
      <c r="D16" s="4"/>
      <c r="E16" s="43" t="s">
        <v>698</v>
      </c>
      <c r="F16" s="2">
        <v>20250731</v>
      </c>
      <c r="G16" s="2">
        <v>20250731</v>
      </c>
      <c r="H16" s="2">
        <v>20250731</v>
      </c>
      <c r="I16" s="40" t="s">
        <v>1126</v>
      </c>
      <c r="M16" s="40" t="s">
        <v>186</v>
      </c>
      <c r="N16" s="42"/>
      <c r="P16" s="47">
        <v>307030</v>
      </c>
      <c r="R16" s="47" t="s">
        <v>699</v>
      </c>
    </row>
    <row r="17" spans="1:18">
      <c r="A17" s="2">
        <v>1</v>
      </c>
      <c r="B17" s="2">
        <v>16</v>
      </c>
      <c r="C17" s="38" t="s">
        <v>109</v>
      </c>
      <c r="D17" s="4"/>
      <c r="E17" s="43" t="s">
        <v>698</v>
      </c>
      <c r="F17" s="2">
        <v>20250731</v>
      </c>
      <c r="G17" s="2">
        <v>20250731</v>
      </c>
      <c r="H17" s="2">
        <v>20250731</v>
      </c>
      <c r="I17" s="40" t="s">
        <v>753</v>
      </c>
      <c r="M17" s="40" t="s">
        <v>187</v>
      </c>
      <c r="N17" s="42"/>
      <c r="P17" s="47">
        <v>307030</v>
      </c>
      <c r="R17" s="47" t="s">
        <v>699</v>
      </c>
    </row>
    <row r="18" spans="1:18">
      <c r="A18" s="2">
        <v>1</v>
      </c>
      <c r="B18" s="2">
        <v>17</v>
      </c>
      <c r="C18" s="38" t="s">
        <v>110</v>
      </c>
      <c r="D18" s="4"/>
      <c r="E18" s="43" t="s">
        <v>698</v>
      </c>
      <c r="F18" s="2">
        <v>20250731</v>
      </c>
      <c r="G18" s="2">
        <v>20250731</v>
      </c>
      <c r="H18" s="2">
        <v>20250731</v>
      </c>
      <c r="I18" s="40" t="s">
        <v>805</v>
      </c>
      <c r="M18" s="40" t="s">
        <v>154</v>
      </c>
      <c r="N18" s="42"/>
      <c r="P18" s="47">
        <v>307030</v>
      </c>
      <c r="R18" s="47" t="s">
        <v>699</v>
      </c>
    </row>
    <row r="19" spans="1:18">
      <c r="A19" s="2">
        <v>1</v>
      </c>
      <c r="B19" s="2">
        <v>18</v>
      </c>
      <c r="C19" s="38" t="s">
        <v>110</v>
      </c>
      <c r="D19" s="4"/>
      <c r="E19" s="43" t="s">
        <v>698</v>
      </c>
      <c r="F19" s="2">
        <v>20250731</v>
      </c>
      <c r="G19" s="2">
        <v>20250731</v>
      </c>
      <c r="H19" s="2">
        <v>20250731</v>
      </c>
      <c r="I19" s="40" t="s">
        <v>753</v>
      </c>
      <c r="M19" s="40" t="s">
        <v>152</v>
      </c>
      <c r="N19" s="42"/>
      <c r="P19" s="47">
        <v>307030</v>
      </c>
      <c r="R19" s="47" t="s">
        <v>699</v>
      </c>
    </row>
    <row r="20" spans="1:18">
      <c r="A20" s="2">
        <v>1</v>
      </c>
      <c r="B20" s="2">
        <v>19</v>
      </c>
      <c r="C20" s="38" t="s">
        <v>111</v>
      </c>
      <c r="D20" s="4"/>
      <c r="E20" s="43" t="s">
        <v>698</v>
      </c>
      <c r="F20" s="2">
        <v>20250731</v>
      </c>
      <c r="G20" s="2">
        <v>20250731</v>
      </c>
      <c r="H20" s="2">
        <v>20250731</v>
      </c>
      <c r="I20" s="44"/>
      <c r="M20" s="40" t="s">
        <v>188</v>
      </c>
      <c r="N20" s="42"/>
      <c r="P20" s="47">
        <v>307030</v>
      </c>
      <c r="R20" s="47" t="s">
        <v>699</v>
      </c>
    </row>
    <row r="21" spans="1:18">
      <c r="A21" s="2">
        <v>1</v>
      </c>
      <c r="B21" s="2">
        <v>20</v>
      </c>
      <c r="C21" s="38" t="s">
        <v>111</v>
      </c>
      <c r="D21" s="4"/>
      <c r="E21" s="43" t="s">
        <v>698</v>
      </c>
      <c r="F21" s="2">
        <v>20250731</v>
      </c>
      <c r="G21" s="2">
        <v>20250731</v>
      </c>
      <c r="H21" s="2">
        <v>20250731</v>
      </c>
      <c r="I21" s="44"/>
      <c r="M21" s="40" t="s">
        <v>189</v>
      </c>
      <c r="N21" s="42"/>
      <c r="P21" s="47">
        <v>307030</v>
      </c>
      <c r="R21" s="47" t="s">
        <v>699</v>
      </c>
    </row>
    <row r="22" spans="1:18">
      <c r="A22" s="2">
        <v>1</v>
      </c>
      <c r="B22" s="2">
        <v>21</v>
      </c>
      <c r="C22" s="38" t="s">
        <v>111</v>
      </c>
      <c r="D22" s="4"/>
      <c r="E22" s="43" t="s">
        <v>698</v>
      </c>
      <c r="F22" s="2">
        <v>20250731</v>
      </c>
      <c r="G22" s="2">
        <v>20250731</v>
      </c>
      <c r="H22" s="2">
        <v>20250731</v>
      </c>
      <c r="I22" s="44"/>
      <c r="M22" s="40" t="s">
        <v>190</v>
      </c>
      <c r="N22" s="42"/>
      <c r="P22" s="47">
        <v>307030</v>
      </c>
      <c r="R22" s="47" t="s">
        <v>699</v>
      </c>
    </row>
    <row r="23" spans="1:18">
      <c r="A23" s="2">
        <v>1</v>
      </c>
      <c r="B23" s="2">
        <v>22</v>
      </c>
      <c r="C23" s="38" t="s">
        <v>111</v>
      </c>
      <c r="D23" s="4"/>
      <c r="E23" s="43" t="s">
        <v>698</v>
      </c>
      <c r="F23" s="2">
        <v>20250731</v>
      </c>
      <c r="G23" s="2">
        <v>20250731</v>
      </c>
      <c r="H23" s="2">
        <v>20250731</v>
      </c>
      <c r="I23" s="44"/>
      <c r="M23" s="40" t="s">
        <v>173</v>
      </c>
      <c r="N23" s="42"/>
      <c r="P23" s="47">
        <v>307030</v>
      </c>
      <c r="R23" s="47" t="s">
        <v>699</v>
      </c>
    </row>
    <row r="24" spans="1:18">
      <c r="A24" s="2">
        <v>1</v>
      </c>
      <c r="B24" s="2">
        <v>23</v>
      </c>
      <c r="C24" s="38" t="s">
        <v>111</v>
      </c>
      <c r="D24" s="4"/>
      <c r="E24" s="43" t="s">
        <v>698</v>
      </c>
      <c r="F24" s="2">
        <v>20250731</v>
      </c>
      <c r="G24" s="2">
        <v>20250731</v>
      </c>
      <c r="H24" s="2">
        <v>20250731</v>
      </c>
      <c r="I24" s="44"/>
      <c r="M24" s="40" t="s">
        <v>191</v>
      </c>
      <c r="N24" s="42"/>
      <c r="P24" s="47">
        <v>307030</v>
      </c>
      <c r="R24" s="47" t="s">
        <v>699</v>
      </c>
    </row>
    <row r="25" spans="1:18">
      <c r="A25" s="2">
        <v>1</v>
      </c>
      <c r="B25" s="2">
        <v>24</v>
      </c>
      <c r="C25" s="38" t="s">
        <v>111</v>
      </c>
      <c r="D25" s="4"/>
      <c r="E25" s="43" t="s">
        <v>698</v>
      </c>
      <c r="F25" s="2">
        <v>20250731</v>
      </c>
      <c r="G25" s="2">
        <v>20250731</v>
      </c>
      <c r="H25" s="2">
        <v>20250731</v>
      </c>
      <c r="I25" s="44"/>
      <c r="M25" s="40" t="s">
        <v>192</v>
      </c>
      <c r="N25" s="42"/>
      <c r="P25" s="47">
        <v>307030</v>
      </c>
      <c r="R25" s="47" t="s">
        <v>699</v>
      </c>
    </row>
    <row r="26" spans="1:18">
      <c r="A26" s="2">
        <v>1</v>
      </c>
      <c r="B26" s="2">
        <v>25</v>
      </c>
      <c r="C26" s="38" t="s">
        <v>111</v>
      </c>
      <c r="D26" s="4"/>
      <c r="E26" s="43" t="s">
        <v>698</v>
      </c>
      <c r="F26" s="2">
        <v>20250731</v>
      </c>
      <c r="G26" s="2">
        <v>20250731</v>
      </c>
      <c r="H26" s="2">
        <v>20250731</v>
      </c>
      <c r="I26" s="44"/>
      <c r="M26" s="40" t="s">
        <v>193</v>
      </c>
      <c r="N26" s="42"/>
      <c r="P26" s="47">
        <v>307030</v>
      </c>
      <c r="R26" s="47" t="s">
        <v>699</v>
      </c>
    </row>
    <row r="27" spans="1:18">
      <c r="A27" s="2">
        <v>1</v>
      </c>
      <c r="B27" s="2">
        <v>26</v>
      </c>
      <c r="C27" s="38" t="s">
        <v>112</v>
      </c>
      <c r="D27" s="4"/>
      <c r="E27" s="43" t="s">
        <v>698</v>
      </c>
      <c r="F27" s="2">
        <v>20250731</v>
      </c>
      <c r="G27" s="2">
        <v>20250731</v>
      </c>
      <c r="H27" s="2">
        <v>20250731</v>
      </c>
      <c r="I27" s="40" t="s">
        <v>789</v>
      </c>
      <c r="M27" s="40" t="s">
        <v>126</v>
      </c>
      <c r="N27" s="42"/>
      <c r="P27" s="47">
        <v>307030</v>
      </c>
      <c r="R27" s="47" t="s">
        <v>699</v>
      </c>
    </row>
    <row r="28" spans="1:18">
      <c r="A28" s="2">
        <v>1</v>
      </c>
      <c r="B28" s="2">
        <v>27</v>
      </c>
      <c r="C28" s="38" t="s">
        <v>112</v>
      </c>
      <c r="D28" s="4"/>
      <c r="E28" s="43" t="s">
        <v>698</v>
      </c>
      <c r="F28" s="2">
        <v>20250731</v>
      </c>
      <c r="G28" s="2">
        <v>20250731</v>
      </c>
      <c r="H28" s="2">
        <v>20250731</v>
      </c>
      <c r="I28" s="40" t="s">
        <v>758</v>
      </c>
      <c r="M28" s="40" t="s">
        <v>126</v>
      </c>
      <c r="N28" s="42"/>
      <c r="P28" s="47">
        <v>307030</v>
      </c>
      <c r="R28" s="47" t="s">
        <v>699</v>
      </c>
    </row>
    <row r="29" spans="1:18">
      <c r="A29" s="2">
        <v>1</v>
      </c>
      <c r="B29" s="2">
        <v>28</v>
      </c>
      <c r="C29" s="38" t="s">
        <v>112</v>
      </c>
      <c r="D29" s="4"/>
      <c r="E29" s="43" t="s">
        <v>698</v>
      </c>
      <c r="F29" s="2">
        <v>20250731</v>
      </c>
      <c r="G29" s="2">
        <v>20250731</v>
      </c>
      <c r="H29" s="2">
        <v>20250731</v>
      </c>
      <c r="I29" s="40" t="s">
        <v>795</v>
      </c>
      <c r="M29" s="40" t="s">
        <v>154</v>
      </c>
      <c r="N29" s="42"/>
      <c r="P29" s="47">
        <v>307030</v>
      </c>
      <c r="R29" s="47" t="s">
        <v>699</v>
      </c>
    </row>
    <row r="30" spans="1:18">
      <c r="A30" s="2">
        <v>1</v>
      </c>
      <c r="B30" s="2">
        <v>29</v>
      </c>
      <c r="C30" s="38" t="s">
        <v>112</v>
      </c>
      <c r="D30" s="4"/>
      <c r="E30" s="43" t="s">
        <v>698</v>
      </c>
      <c r="F30" s="2">
        <v>20250731</v>
      </c>
      <c r="G30" s="2">
        <v>20250731</v>
      </c>
      <c r="H30" s="2">
        <v>20250731</v>
      </c>
      <c r="I30" s="40" t="s">
        <v>904</v>
      </c>
      <c r="M30" s="40" t="s">
        <v>120</v>
      </c>
      <c r="N30" s="42"/>
      <c r="P30" s="47">
        <v>307030</v>
      </c>
      <c r="R30" s="47" t="s">
        <v>699</v>
      </c>
    </row>
    <row r="31" spans="1:18">
      <c r="A31" s="2">
        <v>1</v>
      </c>
      <c r="B31" s="2">
        <v>30</v>
      </c>
      <c r="C31" s="38" t="s">
        <v>112</v>
      </c>
      <c r="D31" s="4"/>
      <c r="E31" s="43" t="s">
        <v>698</v>
      </c>
      <c r="F31" s="2">
        <v>20250731</v>
      </c>
      <c r="G31" s="2">
        <v>20250731</v>
      </c>
      <c r="H31" s="2">
        <v>20250731</v>
      </c>
      <c r="I31" s="40" t="s">
        <v>1049</v>
      </c>
      <c r="M31" s="40" t="s">
        <v>154</v>
      </c>
      <c r="N31" s="42"/>
      <c r="P31" s="47">
        <v>307030</v>
      </c>
      <c r="R31" s="47" t="s">
        <v>699</v>
      </c>
    </row>
    <row r="32" spans="1:18">
      <c r="A32" s="2">
        <v>1</v>
      </c>
      <c r="B32" s="2">
        <v>31</v>
      </c>
      <c r="C32" s="38" t="s">
        <v>113</v>
      </c>
      <c r="D32" s="4"/>
      <c r="E32" s="43" t="s">
        <v>698</v>
      </c>
      <c r="F32" s="2">
        <v>20250731</v>
      </c>
      <c r="G32" s="2">
        <v>20250731</v>
      </c>
      <c r="H32" s="2">
        <v>20250731</v>
      </c>
      <c r="I32" s="40" t="s">
        <v>1126</v>
      </c>
      <c r="M32" s="40" t="s">
        <v>194</v>
      </c>
      <c r="N32" s="42"/>
      <c r="P32" s="47">
        <v>307030</v>
      </c>
      <c r="R32" s="47" t="s">
        <v>699</v>
      </c>
    </row>
    <row r="33" spans="1:18">
      <c r="A33" s="2">
        <v>1</v>
      </c>
      <c r="B33" s="2">
        <v>32</v>
      </c>
      <c r="C33" s="38" t="s">
        <v>113</v>
      </c>
      <c r="D33" s="4"/>
      <c r="E33" s="43" t="s">
        <v>698</v>
      </c>
      <c r="F33" s="2">
        <v>20250731</v>
      </c>
      <c r="G33" s="2">
        <v>20250731</v>
      </c>
      <c r="H33" s="2">
        <v>20250731</v>
      </c>
      <c r="I33" s="40" t="s">
        <v>753</v>
      </c>
      <c r="M33" s="40" t="s">
        <v>195</v>
      </c>
      <c r="N33" s="42"/>
      <c r="P33" s="47">
        <v>307030</v>
      </c>
      <c r="R33" s="47" t="s">
        <v>699</v>
      </c>
    </row>
    <row r="34" spans="1:18">
      <c r="A34" s="2">
        <v>1</v>
      </c>
      <c r="B34" s="2">
        <v>33</v>
      </c>
      <c r="C34" s="38" t="s">
        <v>114</v>
      </c>
      <c r="D34" s="4"/>
      <c r="E34" s="43" t="s">
        <v>698</v>
      </c>
      <c r="F34" s="2">
        <v>20250731</v>
      </c>
      <c r="G34" s="2">
        <v>20250731</v>
      </c>
      <c r="H34" s="2">
        <v>20250731</v>
      </c>
      <c r="I34" s="40" t="s">
        <v>764</v>
      </c>
      <c r="M34" s="40" t="s">
        <v>196</v>
      </c>
      <c r="N34" s="42"/>
      <c r="P34" s="47">
        <v>307030</v>
      </c>
      <c r="R34" s="47" t="s">
        <v>699</v>
      </c>
    </row>
    <row r="35" spans="1:18">
      <c r="A35" s="2">
        <v>1</v>
      </c>
      <c r="B35" s="2">
        <v>34</v>
      </c>
      <c r="C35" s="38" t="s">
        <v>114</v>
      </c>
      <c r="D35" s="4"/>
      <c r="E35" s="43" t="s">
        <v>698</v>
      </c>
      <c r="F35" s="2">
        <v>20250731</v>
      </c>
      <c r="G35" s="2">
        <v>20250731</v>
      </c>
      <c r="H35" s="2">
        <v>20250731</v>
      </c>
      <c r="I35" s="40" t="s">
        <v>769</v>
      </c>
      <c r="M35" s="40" t="s">
        <v>197</v>
      </c>
      <c r="N35" s="42"/>
      <c r="P35" s="47">
        <v>307030</v>
      </c>
      <c r="R35" s="47" t="s">
        <v>699</v>
      </c>
    </row>
    <row r="36" spans="1:18">
      <c r="A36" s="2">
        <v>1</v>
      </c>
      <c r="B36" s="2">
        <v>35</v>
      </c>
      <c r="C36" s="38" t="s">
        <v>114</v>
      </c>
      <c r="D36" s="4"/>
      <c r="E36" s="43" t="s">
        <v>698</v>
      </c>
      <c r="F36" s="2">
        <v>20250731</v>
      </c>
      <c r="G36" s="2">
        <v>20250731</v>
      </c>
      <c r="H36" s="2">
        <v>20250731</v>
      </c>
      <c r="I36" s="40" t="s">
        <v>776</v>
      </c>
      <c r="M36" s="40" t="s">
        <v>198</v>
      </c>
      <c r="N36" s="42"/>
      <c r="P36" s="47">
        <v>307030</v>
      </c>
      <c r="R36" s="47" t="s">
        <v>699</v>
      </c>
    </row>
    <row r="37" spans="1:18">
      <c r="A37" s="2">
        <v>1</v>
      </c>
      <c r="B37" s="2">
        <v>36</v>
      </c>
      <c r="C37" s="38" t="s">
        <v>114</v>
      </c>
      <c r="D37" s="4"/>
      <c r="E37" s="43" t="s">
        <v>698</v>
      </c>
      <c r="F37" s="2">
        <v>20250731</v>
      </c>
      <c r="G37" s="2">
        <v>20250731</v>
      </c>
      <c r="H37" s="2">
        <v>20250731</v>
      </c>
      <c r="I37" s="40" t="s">
        <v>787</v>
      </c>
      <c r="M37" s="40" t="s">
        <v>199</v>
      </c>
      <c r="N37" s="42"/>
      <c r="P37" s="47">
        <v>307030</v>
      </c>
      <c r="R37" s="47" t="s">
        <v>699</v>
      </c>
    </row>
    <row r="38" spans="1:18">
      <c r="A38" s="2">
        <v>1</v>
      </c>
      <c r="B38" s="2">
        <v>37</v>
      </c>
      <c r="C38" s="38" t="s">
        <v>114</v>
      </c>
      <c r="D38" s="4"/>
      <c r="E38" s="43" t="s">
        <v>698</v>
      </c>
      <c r="F38" s="2">
        <v>20250731</v>
      </c>
      <c r="G38" s="2">
        <v>20250731</v>
      </c>
      <c r="H38" s="2">
        <v>20250731</v>
      </c>
      <c r="I38" s="40" t="s">
        <v>792</v>
      </c>
      <c r="M38" s="40" t="s">
        <v>177</v>
      </c>
      <c r="N38" s="42"/>
      <c r="P38" s="47">
        <v>307030</v>
      </c>
      <c r="R38" s="47" t="s">
        <v>699</v>
      </c>
    </row>
    <row r="39" spans="1:18">
      <c r="A39" s="2">
        <v>1</v>
      </c>
      <c r="B39" s="2">
        <v>38</v>
      </c>
      <c r="C39" s="38" t="s">
        <v>114</v>
      </c>
      <c r="D39" s="4"/>
      <c r="E39" s="43" t="s">
        <v>698</v>
      </c>
      <c r="F39" s="2">
        <v>20250731</v>
      </c>
      <c r="G39" s="2">
        <v>20250731</v>
      </c>
      <c r="H39" s="2">
        <v>20250731</v>
      </c>
      <c r="I39" s="40" t="s">
        <v>798</v>
      </c>
      <c r="M39" s="40" t="s">
        <v>200</v>
      </c>
      <c r="N39" s="42"/>
      <c r="P39" s="47">
        <v>307030</v>
      </c>
      <c r="R39" s="47" t="s">
        <v>699</v>
      </c>
    </row>
    <row r="40" spans="1:18">
      <c r="A40" s="2">
        <v>1</v>
      </c>
      <c r="B40" s="2">
        <v>39</v>
      </c>
      <c r="C40" s="38" t="s">
        <v>114</v>
      </c>
      <c r="D40" s="4"/>
      <c r="E40" s="43" t="s">
        <v>698</v>
      </c>
      <c r="F40" s="2">
        <v>20250731</v>
      </c>
      <c r="G40" s="2">
        <v>20250731</v>
      </c>
      <c r="H40" s="2">
        <v>20250731</v>
      </c>
      <c r="I40" s="40" t="s">
        <v>1125</v>
      </c>
      <c r="M40" s="40" t="s">
        <v>201</v>
      </c>
      <c r="N40" s="42"/>
      <c r="P40" s="47">
        <v>307030</v>
      </c>
      <c r="R40" s="47" t="s">
        <v>699</v>
      </c>
    </row>
    <row r="41" spans="1:18">
      <c r="A41" s="2">
        <v>1</v>
      </c>
      <c r="B41" s="2">
        <v>40</v>
      </c>
      <c r="C41" s="38" t="s">
        <v>114</v>
      </c>
      <c r="D41" s="4"/>
      <c r="E41" s="43" t="s">
        <v>698</v>
      </c>
      <c r="F41" s="2">
        <v>20250731</v>
      </c>
      <c r="G41" s="2">
        <v>20250731</v>
      </c>
      <c r="H41" s="2">
        <v>20250731</v>
      </c>
      <c r="I41" s="40" t="s">
        <v>754</v>
      </c>
      <c r="M41" s="40" t="s">
        <v>202</v>
      </c>
      <c r="N41" s="42"/>
      <c r="P41" s="47">
        <v>307030</v>
      </c>
      <c r="R41" s="47" t="s">
        <v>699</v>
      </c>
    </row>
    <row r="42" spans="1:18">
      <c r="A42" s="2">
        <v>1</v>
      </c>
      <c r="B42" s="2">
        <v>41</v>
      </c>
      <c r="C42" s="38" t="s">
        <v>114</v>
      </c>
      <c r="D42" s="4"/>
      <c r="E42" s="43" t="s">
        <v>698</v>
      </c>
      <c r="F42" s="2">
        <v>20250731</v>
      </c>
      <c r="G42" s="2">
        <v>20250731</v>
      </c>
      <c r="H42" s="2">
        <v>20250731</v>
      </c>
      <c r="I42" s="40" t="s">
        <v>771</v>
      </c>
      <c r="M42" s="40" t="s">
        <v>203</v>
      </c>
      <c r="N42" s="42"/>
      <c r="P42" s="47">
        <v>307030</v>
      </c>
      <c r="R42" s="47" t="s">
        <v>699</v>
      </c>
    </row>
    <row r="43" spans="1:18">
      <c r="A43" s="2">
        <v>1</v>
      </c>
      <c r="B43" s="2">
        <v>42</v>
      </c>
      <c r="C43" s="38" t="s">
        <v>114</v>
      </c>
      <c r="D43" s="4"/>
      <c r="E43" s="43" t="s">
        <v>698</v>
      </c>
      <c r="F43" s="2">
        <v>20250731</v>
      </c>
      <c r="G43" s="2">
        <v>20250731</v>
      </c>
      <c r="H43" s="2">
        <v>20250731</v>
      </c>
      <c r="I43" s="40" t="s">
        <v>816</v>
      </c>
      <c r="M43" s="40" t="s">
        <v>176</v>
      </c>
      <c r="N43" s="42"/>
      <c r="P43" s="47">
        <v>307030</v>
      </c>
      <c r="R43" s="47" t="s">
        <v>699</v>
      </c>
    </row>
    <row r="44" spans="1:18">
      <c r="A44" s="2">
        <v>1</v>
      </c>
      <c r="B44" s="2">
        <v>43</v>
      </c>
      <c r="C44" s="38" t="s">
        <v>114</v>
      </c>
      <c r="D44" s="4"/>
      <c r="E44" s="43" t="s">
        <v>698</v>
      </c>
      <c r="F44" s="2">
        <v>20250731</v>
      </c>
      <c r="G44" s="2">
        <v>20250731</v>
      </c>
      <c r="H44" s="2">
        <v>20250731</v>
      </c>
      <c r="I44" s="40" t="s">
        <v>710</v>
      </c>
      <c r="M44" s="40" t="s">
        <v>204</v>
      </c>
      <c r="N44" s="42"/>
      <c r="P44" s="47">
        <v>307030</v>
      </c>
      <c r="R44" s="47" t="s">
        <v>699</v>
      </c>
    </row>
    <row r="45" spans="1:18">
      <c r="A45" s="2">
        <v>1</v>
      </c>
      <c r="B45" s="2">
        <v>44</v>
      </c>
      <c r="C45" s="38" t="s">
        <v>114</v>
      </c>
      <c r="D45" s="4"/>
      <c r="E45" s="43" t="s">
        <v>698</v>
      </c>
      <c r="F45" s="2">
        <v>20250731</v>
      </c>
      <c r="G45" s="2">
        <v>20250731</v>
      </c>
      <c r="H45" s="2">
        <v>20250731</v>
      </c>
      <c r="I45" s="40" t="s">
        <v>819</v>
      </c>
      <c r="M45" s="40" t="s">
        <v>196</v>
      </c>
      <c r="N45" s="42"/>
      <c r="P45" s="47">
        <v>307030</v>
      </c>
      <c r="R45" s="47" t="s">
        <v>699</v>
      </c>
    </row>
    <row r="46" spans="1:18">
      <c r="A46" s="2">
        <v>1</v>
      </c>
      <c r="B46" s="2">
        <v>45</v>
      </c>
      <c r="C46" s="38" t="s">
        <v>114</v>
      </c>
      <c r="D46" s="4"/>
      <c r="E46" s="43" t="s">
        <v>698</v>
      </c>
      <c r="F46" s="2">
        <v>20250731</v>
      </c>
      <c r="G46" s="2">
        <v>20250731</v>
      </c>
      <c r="H46" s="2">
        <v>20250731</v>
      </c>
      <c r="I46" s="40" t="s">
        <v>1129</v>
      </c>
      <c r="M46" s="40" t="s">
        <v>157</v>
      </c>
      <c r="N46" s="42"/>
      <c r="P46" s="47">
        <v>307030</v>
      </c>
      <c r="R46" s="47" t="s">
        <v>699</v>
      </c>
    </row>
    <row r="47" spans="1:18">
      <c r="A47" s="2">
        <v>1</v>
      </c>
      <c r="B47" s="2">
        <v>46</v>
      </c>
      <c r="C47" s="38" t="s">
        <v>114</v>
      </c>
      <c r="D47" s="4"/>
      <c r="E47" s="43" t="s">
        <v>698</v>
      </c>
      <c r="F47" s="2">
        <v>20250731</v>
      </c>
      <c r="G47" s="2">
        <v>20250731</v>
      </c>
      <c r="H47" s="2">
        <v>20250731</v>
      </c>
      <c r="I47" s="40" t="s">
        <v>702</v>
      </c>
      <c r="M47" s="40" t="s">
        <v>169</v>
      </c>
      <c r="N47" s="42"/>
      <c r="P47" s="47">
        <v>307030</v>
      </c>
      <c r="R47" s="47" t="s">
        <v>699</v>
      </c>
    </row>
    <row r="48" spans="1:18">
      <c r="A48" s="2">
        <v>1</v>
      </c>
      <c r="B48" s="2">
        <v>47</v>
      </c>
      <c r="C48" s="38" t="s">
        <v>114</v>
      </c>
      <c r="D48" s="4"/>
      <c r="E48" s="43" t="s">
        <v>698</v>
      </c>
      <c r="F48" s="2">
        <v>20250731</v>
      </c>
      <c r="G48" s="2">
        <v>20250731</v>
      </c>
      <c r="H48" s="2">
        <v>20250731</v>
      </c>
      <c r="I48" s="40" t="s">
        <v>707</v>
      </c>
      <c r="M48" s="40" t="s">
        <v>176</v>
      </c>
      <c r="N48" s="42"/>
      <c r="P48" s="47">
        <v>307030</v>
      </c>
      <c r="R48" s="47" t="s">
        <v>699</v>
      </c>
    </row>
    <row r="49" spans="1:18">
      <c r="A49" s="2">
        <v>1</v>
      </c>
      <c r="B49" s="2">
        <v>48</v>
      </c>
      <c r="C49" s="38" t="s">
        <v>114</v>
      </c>
      <c r="D49" s="4"/>
      <c r="E49" s="43" t="s">
        <v>698</v>
      </c>
      <c r="F49" s="2">
        <v>20250731</v>
      </c>
      <c r="G49" s="2">
        <v>20250731</v>
      </c>
      <c r="H49" s="2">
        <v>20250731</v>
      </c>
      <c r="I49" s="40" t="s">
        <v>799</v>
      </c>
      <c r="M49" s="40" t="s">
        <v>205</v>
      </c>
      <c r="N49" s="42"/>
      <c r="P49" s="47">
        <v>307030</v>
      </c>
      <c r="R49" s="47" t="s">
        <v>699</v>
      </c>
    </row>
    <row r="50" spans="1:18">
      <c r="A50" s="2">
        <v>1</v>
      </c>
      <c r="B50" s="2">
        <v>49</v>
      </c>
      <c r="C50" s="38" t="s">
        <v>114</v>
      </c>
      <c r="D50" s="4"/>
      <c r="E50" s="43" t="s">
        <v>698</v>
      </c>
      <c r="F50" s="2">
        <v>20250731</v>
      </c>
      <c r="G50" s="2">
        <v>20250731</v>
      </c>
      <c r="H50" s="2">
        <v>20250731</v>
      </c>
      <c r="I50" s="40" t="s">
        <v>701</v>
      </c>
      <c r="M50" s="40" t="s">
        <v>206</v>
      </c>
      <c r="N50" s="42"/>
      <c r="P50" s="47">
        <v>307030</v>
      </c>
      <c r="R50" s="47" t="s">
        <v>699</v>
      </c>
    </row>
    <row r="51" spans="1:18">
      <c r="A51" s="2">
        <v>1</v>
      </c>
      <c r="B51" s="2">
        <v>50</v>
      </c>
      <c r="C51" s="38" t="s">
        <v>114</v>
      </c>
      <c r="D51" s="4"/>
      <c r="E51" s="43" t="s">
        <v>698</v>
      </c>
      <c r="F51" s="2">
        <v>20250731</v>
      </c>
      <c r="G51" s="2">
        <v>20250731</v>
      </c>
      <c r="H51" s="2">
        <v>20250731</v>
      </c>
      <c r="I51" s="40" t="s">
        <v>757</v>
      </c>
      <c r="M51" s="40" t="s">
        <v>196</v>
      </c>
      <c r="N51" s="42"/>
      <c r="P51" s="47">
        <v>307030</v>
      </c>
      <c r="R51" s="47" t="s">
        <v>699</v>
      </c>
    </row>
    <row r="52" spans="1:18">
      <c r="A52" s="2">
        <v>1</v>
      </c>
      <c r="B52" s="2">
        <v>51</v>
      </c>
      <c r="C52" s="38" t="s">
        <v>114</v>
      </c>
      <c r="D52" s="4"/>
      <c r="E52" s="43" t="s">
        <v>698</v>
      </c>
      <c r="F52" s="2">
        <v>20250731</v>
      </c>
      <c r="G52" s="2">
        <v>20250731</v>
      </c>
      <c r="H52" s="2">
        <v>20250731</v>
      </c>
      <c r="I52" s="40" t="s">
        <v>803</v>
      </c>
      <c r="M52" s="40" t="s">
        <v>157</v>
      </c>
      <c r="N52" s="42"/>
      <c r="P52" s="47">
        <v>307030</v>
      </c>
      <c r="R52" s="47" t="s">
        <v>699</v>
      </c>
    </row>
    <row r="53" spans="1:18">
      <c r="A53" s="2">
        <v>1</v>
      </c>
      <c r="B53" s="2">
        <v>52</v>
      </c>
      <c r="C53" s="38" t="s">
        <v>114</v>
      </c>
      <c r="D53" s="4"/>
      <c r="E53" s="43" t="s">
        <v>698</v>
      </c>
      <c r="F53" s="2">
        <v>20250731</v>
      </c>
      <c r="G53" s="2">
        <v>20250731</v>
      </c>
      <c r="H53" s="2">
        <v>20250731</v>
      </c>
      <c r="I53" s="40" t="s">
        <v>806</v>
      </c>
      <c r="M53" s="40" t="s">
        <v>168</v>
      </c>
      <c r="N53" s="42"/>
      <c r="P53" s="47">
        <v>307030</v>
      </c>
      <c r="R53" s="47" t="s">
        <v>699</v>
      </c>
    </row>
    <row r="54" spans="1:18">
      <c r="A54" s="2">
        <v>1</v>
      </c>
      <c r="B54" s="2">
        <v>53</v>
      </c>
      <c r="C54" s="38" t="s">
        <v>114</v>
      </c>
      <c r="D54" s="4"/>
      <c r="E54" s="43" t="s">
        <v>698</v>
      </c>
      <c r="F54" s="2">
        <v>20250731</v>
      </c>
      <c r="G54" s="2">
        <v>20250731</v>
      </c>
      <c r="H54" s="2">
        <v>20250731</v>
      </c>
      <c r="I54" s="40" t="s">
        <v>775</v>
      </c>
      <c r="M54" s="40" t="s">
        <v>168</v>
      </c>
      <c r="N54" s="42"/>
      <c r="P54" s="47">
        <v>307030</v>
      </c>
      <c r="R54" s="47" t="s">
        <v>699</v>
      </c>
    </row>
    <row r="55" spans="1:18">
      <c r="A55" s="2">
        <v>1</v>
      </c>
      <c r="B55" s="2">
        <v>54</v>
      </c>
      <c r="C55" s="38" t="s">
        <v>114</v>
      </c>
      <c r="D55" s="4"/>
      <c r="E55" s="43" t="s">
        <v>698</v>
      </c>
      <c r="F55" s="2">
        <v>20250731</v>
      </c>
      <c r="G55" s="2">
        <v>20250731</v>
      </c>
      <c r="H55" s="2">
        <v>20250731</v>
      </c>
      <c r="I55" s="40" t="s">
        <v>794</v>
      </c>
      <c r="M55" s="40" t="s">
        <v>207</v>
      </c>
      <c r="N55" s="42"/>
      <c r="P55" s="47">
        <v>307030</v>
      </c>
      <c r="R55" s="47" t="s">
        <v>699</v>
      </c>
    </row>
    <row r="56" spans="1:18">
      <c r="A56" s="2">
        <v>1</v>
      </c>
      <c r="B56" s="2">
        <v>55</v>
      </c>
      <c r="C56" s="38" t="s">
        <v>114</v>
      </c>
      <c r="D56" s="4"/>
      <c r="E56" s="43" t="s">
        <v>698</v>
      </c>
      <c r="F56" s="2">
        <v>20250731</v>
      </c>
      <c r="G56" s="2">
        <v>20250731</v>
      </c>
      <c r="H56" s="2">
        <v>20250731</v>
      </c>
      <c r="I56" s="40" t="s">
        <v>745</v>
      </c>
      <c r="M56" s="40" t="s">
        <v>208</v>
      </c>
      <c r="N56" s="42"/>
      <c r="P56" s="47">
        <v>307030</v>
      </c>
      <c r="R56" s="47" t="s">
        <v>699</v>
      </c>
    </row>
    <row r="57" spans="1:18">
      <c r="A57" s="2">
        <v>1</v>
      </c>
      <c r="B57" s="2">
        <v>56</v>
      </c>
      <c r="C57" s="38" t="s">
        <v>114</v>
      </c>
      <c r="D57" s="4"/>
      <c r="E57" s="43" t="s">
        <v>698</v>
      </c>
      <c r="F57" s="2">
        <v>20250731</v>
      </c>
      <c r="G57" s="2">
        <v>20250731</v>
      </c>
      <c r="H57" s="2">
        <v>20250731</v>
      </c>
      <c r="I57" s="40" t="s">
        <v>761</v>
      </c>
      <c r="M57" s="40" t="s">
        <v>209</v>
      </c>
      <c r="N57" s="42"/>
      <c r="P57" s="47">
        <v>307030</v>
      </c>
      <c r="R57" s="47" t="s">
        <v>699</v>
      </c>
    </row>
    <row r="58" spans="1:18">
      <c r="A58" s="2">
        <v>1</v>
      </c>
      <c r="B58" s="2">
        <v>57</v>
      </c>
      <c r="C58" s="38" t="s">
        <v>114</v>
      </c>
      <c r="D58" s="4"/>
      <c r="E58" s="43" t="s">
        <v>698</v>
      </c>
      <c r="F58" s="2">
        <v>20250731</v>
      </c>
      <c r="G58" s="2">
        <v>20250731</v>
      </c>
      <c r="H58" s="2">
        <v>20250731</v>
      </c>
      <c r="I58" s="40" t="s">
        <v>773</v>
      </c>
      <c r="M58" s="40" t="s">
        <v>210</v>
      </c>
      <c r="N58" s="42"/>
      <c r="P58" s="47">
        <v>307030</v>
      </c>
      <c r="R58" s="47" t="s">
        <v>699</v>
      </c>
    </row>
    <row r="59" spans="1:18">
      <c r="A59" s="2">
        <v>1</v>
      </c>
      <c r="B59" s="2">
        <v>58</v>
      </c>
      <c r="C59" s="38" t="s">
        <v>114</v>
      </c>
      <c r="D59" s="4"/>
      <c r="E59" s="43" t="s">
        <v>698</v>
      </c>
      <c r="F59" s="2">
        <v>20250731</v>
      </c>
      <c r="G59" s="2">
        <v>20250731</v>
      </c>
      <c r="H59" s="2">
        <v>20250731</v>
      </c>
      <c r="I59" s="40" t="s">
        <v>802</v>
      </c>
      <c r="M59" s="40" t="s">
        <v>211</v>
      </c>
      <c r="N59" s="42"/>
      <c r="P59" s="47">
        <v>307030</v>
      </c>
      <c r="R59" s="47" t="s">
        <v>699</v>
      </c>
    </row>
    <row r="60" spans="1:18">
      <c r="A60" s="2">
        <v>1</v>
      </c>
      <c r="B60" s="2">
        <v>59</v>
      </c>
      <c r="C60" s="38" t="s">
        <v>114</v>
      </c>
      <c r="D60" s="4"/>
      <c r="E60" s="43" t="s">
        <v>698</v>
      </c>
      <c r="F60" s="2">
        <v>20250731</v>
      </c>
      <c r="G60" s="2">
        <v>20250731</v>
      </c>
      <c r="H60" s="2">
        <v>20250731</v>
      </c>
      <c r="I60" s="40" t="s">
        <v>821</v>
      </c>
      <c r="M60" s="40" t="s">
        <v>212</v>
      </c>
      <c r="N60" s="42"/>
      <c r="P60" s="47">
        <v>307030</v>
      </c>
      <c r="R60" s="47" t="s">
        <v>699</v>
      </c>
    </row>
    <row r="61" spans="1:18">
      <c r="A61" s="2">
        <v>1</v>
      </c>
      <c r="B61" s="2">
        <v>60</v>
      </c>
      <c r="C61" s="38" t="s">
        <v>114</v>
      </c>
      <c r="D61" s="4"/>
      <c r="E61" s="43" t="s">
        <v>698</v>
      </c>
      <c r="F61" s="2">
        <v>20250731</v>
      </c>
      <c r="G61" s="2">
        <v>20250731</v>
      </c>
      <c r="H61" s="2">
        <v>20250731</v>
      </c>
      <c r="I61" s="40" t="s">
        <v>822</v>
      </c>
      <c r="M61" s="40" t="s">
        <v>213</v>
      </c>
      <c r="N61" s="42"/>
      <c r="P61" s="47">
        <v>307030</v>
      </c>
      <c r="R61" s="47" t="s">
        <v>699</v>
      </c>
    </row>
    <row r="62" spans="1:18">
      <c r="A62" s="2">
        <v>1</v>
      </c>
      <c r="B62" s="2">
        <v>61</v>
      </c>
      <c r="C62" s="38" t="s">
        <v>114</v>
      </c>
      <c r="D62" s="4"/>
      <c r="E62" s="43" t="s">
        <v>698</v>
      </c>
      <c r="F62" s="2">
        <v>20250731</v>
      </c>
      <c r="G62" s="2">
        <v>20250731</v>
      </c>
      <c r="H62" s="2">
        <v>20250731</v>
      </c>
      <c r="I62" s="40" t="s">
        <v>779</v>
      </c>
      <c r="M62" s="40" t="s">
        <v>197</v>
      </c>
      <c r="N62" s="42"/>
      <c r="P62" s="47">
        <v>307030</v>
      </c>
      <c r="R62" s="47" t="s">
        <v>699</v>
      </c>
    </row>
    <row r="63" spans="1:18">
      <c r="A63" s="2">
        <v>1</v>
      </c>
      <c r="B63" s="2">
        <v>62</v>
      </c>
      <c r="C63" s="38" t="s">
        <v>114</v>
      </c>
      <c r="D63" s="4"/>
      <c r="E63" s="43" t="s">
        <v>698</v>
      </c>
      <c r="F63" s="2">
        <v>20250731</v>
      </c>
      <c r="G63" s="2">
        <v>20250731</v>
      </c>
      <c r="H63" s="2">
        <v>20250731</v>
      </c>
      <c r="I63" s="40" t="s">
        <v>706</v>
      </c>
      <c r="M63" s="40" t="s">
        <v>214</v>
      </c>
      <c r="N63" s="42"/>
      <c r="P63" s="47">
        <v>307030</v>
      </c>
      <c r="R63" s="47" t="s">
        <v>699</v>
      </c>
    </row>
    <row r="64" spans="1:18">
      <c r="A64" s="2">
        <v>1</v>
      </c>
      <c r="B64" s="2">
        <v>63</v>
      </c>
      <c r="C64" s="38" t="s">
        <v>114</v>
      </c>
      <c r="D64" s="4"/>
      <c r="E64" s="43" t="s">
        <v>698</v>
      </c>
      <c r="F64" s="2">
        <v>20250731</v>
      </c>
      <c r="G64" s="2">
        <v>20250731</v>
      </c>
      <c r="H64" s="2">
        <v>20250731</v>
      </c>
      <c r="I64" s="40" t="s">
        <v>711</v>
      </c>
      <c r="M64" s="40" t="s">
        <v>215</v>
      </c>
      <c r="N64" s="42"/>
      <c r="P64" s="47">
        <v>307030</v>
      </c>
      <c r="R64" s="47" t="s">
        <v>699</v>
      </c>
    </row>
    <row r="65" spans="1:18">
      <c r="A65" s="2">
        <v>1</v>
      </c>
      <c r="B65" s="2">
        <v>64</v>
      </c>
      <c r="C65" s="38" t="s">
        <v>114</v>
      </c>
      <c r="D65" s="4"/>
      <c r="E65" s="43" t="s">
        <v>698</v>
      </c>
      <c r="F65" s="2">
        <v>20250731</v>
      </c>
      <c r="G65" s="2">
        <v>20250731</v>
      </c>
      <c r="H65" s="2">
        <v>20250731</v>
      </c>
      <c r="I65" s="40" t="s">
        <v>796</v>
      </c>
      <c r="M65" s="40" t="s">
        <v>216</v>
      </c>
      <c r="N65" s="42"/>
      <c r="P65" s="47">
        <v>307030</v>
      </c>
      <c r="R65" s="47" t="s">
        <v>699</v>
      </c>
    </row>
    <row r="66" spans="1:18">
      <c r="A66" s="2">
        <v>1</v>
      </c>
      <c r="B66" s="2">
        <v>65</v>
      </c>
      <c r="C66" s="38" t="s">
        <v>114</v>
      </c>
      <c r="D66" s="4"/>
      <c r="E66" s="43" t="s">
        <v>698</v>
      </c>
      <c r="F66" s="2">
        <v>20250731</v>
      </c>
      <c r="G66" s="2">
        <v>20250731</v>
      </c>
      <c r="H66" s="2">
        <v>20250731</v>
      </c>
      <c r="I66" s="40" t="s">
        <v>800</v>
      </c>
      <c r="M66" s="40" t="s">
        <v>157</v>
      </c>
      <c r="N66" s="42"/>
      <c r="P66" s="47">
        <v>307030</v>
      </c>
      <c r="R66" s="47" t="s">
        <v>699</v>
      </c>
    </row>
    <row r="67" spans="1:18">
      <c r="A67" s="2">
        <v>1</v>
      </c>
      <c r="B67" s="2">
        <v>66</v>
      </c>
      <c r="C67" s="38" t="s">
        <v>114</v>
      </c>
      <c r="D67" s="4"/>
      <c r="E67" s="43" t="s">
        <v>698</v>
      </c>
      <c r="F67" s="2">
        <v>20250731</v>
      </c>
      <c r="G67" s="2">
        <v>20250731</v>
      </c>
      <c r="H67" s="2">
        <v>20250731</v>
      </c>
      <c r="I67" s="40" t="s">
        <v>817</v>
      </c>
      <c r="M67" s="40" t="s">
        <v>159</v>
      </c>
      <c r="N67" s="42"/>
      <c r="P67" s="47">
        <v>307030</v>
      </c>
      <c r="R67" s="47" t="s">
        <v>699</v>
      </c>
    </row>
    <row r="68" spans="1:18">
      <c r="A68" s="2">
        <v>1</v>
      </c>
      <c r="B68" s="2">
        <v>67</v>
      </c>
      <c r="C68" s="38" t="s">
        <v>114</v>
      </c>
      <c r="D68" s="4"/>
      <c r="E68" s="43" t="s">
        <v>698</v>
      </c>
      <c r="F68" s="2">
        <v>20250731</v>
      </c>
      <c r="G68" s="2">
        <v>20250731</v>
      </c>
      <c r="H68" s="2">
        <v>20250731</v>
      </c>
      <c r="I68" s="40" t="s">
        <v>1100</v>
      </c>
      <c r="M68" s="40" t="s">
        <v>158</v>
      </c>
      <c r="N68" s="42"/>
      <c r="P68" s="47">
        <v>307030</v>
      </c>
      <c r="R68" s="47" t="s">
        <v>699</v>
      </c>
    </row>
    <row r="69" spans="1:18">
      <c r="A69" s="2">
        <v>1</v>
      </c>
      <c r="B69" s="2">
        <v>68</v>
      </c>
      <c r="C69" s="38" t="s">
        <v>114</v>
      </c>
      <c r="D69" s="4"/>
      <c r="E69" s="43" t="s">
        <v>698</v>
      </c>
      <c r="F69" s="2">
        <v>20250731</v>
      </c>
      <c r="G69" s="2">
        <v>20250731</v>
      </c>
      <c r="H69" s="2">
        <v>20250731</v>
      </c>
      <c r="I69" s="40" t="s">
        <v>756</v>
      </c>
      <c r="M69" s="40" t="s">
        <v>217</v>
      </c>
      <c r="N69" s="42"/>
      <c r="P69" s="47">
        <v>307030</v>
      </c>
      <c r="R69" s="47" t="s">
        <v>699</v>
      </c>
    </row>
    <row r="70" spans="1:18">
      <c r="A70" s="2">
        <v>1</v>
      </c>
      <c r="B70" s="2">
        <v>69</v>
      </c>
      <c r="C70" s="38" t="s">
        <v>114</v>
      </c>
      <c r="D70" s="4"/>
      <c r="E70" s="43" t="s">
        <v>698</v>
      </c>
      <c r="F70" s="2">
        <v>20250731</v>
      </c>
      <c r="G70" s="2">
        <v>20250731</v>
      </c>
      <c r="H70" s="2">
        <v>20250731</v>
      </c>
      <c r="I70" s="40" t="s">
        <v>704</v>
      </c>
      <c r="M70" s="40" t="s">
        <v>218</v>
      </c>
      <c r="N70" s="42"/>
      <c r="P70" s="47">
        <v>307030</v>
      </c>
      <c r="R70" s="47" t="s">
        <v>699</v>
      </c>
    </row>
    <row r="71" spans="1:18">
      <c r="A71" s="2">
        <v>1</v>
      </c>
      <c r="B71" s="2">
        <v>70</v>
      </c>
      <c r="C71" s="38" t="s">
        <v>114</v>
      </c>
      <c r="D71" s="4"/>
      <c r="E71" s="43" t="s">
        <v>698</v>
      </c>
      <c r="F71" s="2">
        <v>20250731</v>
      </c>
      <c r="G71" s="2">
        <v>20250731</v>
      </c>
      <c r="H71" s="2">
        <v>20250731</v>
      </c>
      <c r="I71" s="40" t="s">
        <v>770</v>
      </c>
      <c r="M71" s="40" t="s">
        <v>174</v>
      </c>
      <c r="N71" s="42"/>
      <c r="P71" s="47">
        <v>307030</v>
      </c>
      <c r="R71" s="47" t="s">
        <v>699</v>
      </c>
    </row>
    <row r="72" spans="1:18">
      <c r="A72" s="2">
        <v>1</v>
      </c>
      <c r="B72" s="2">
        <v>71</v>
      </c>
      <c r="C72" s="38" t="s">
        <v>114</v>
      </c>
      <c r="D72" s="4"/>
      <c r="E72" s="43" t="s">
        <v>698</v>
      </c>
      <c r="F72" s="2">
        <v>20250731</v>
      </c>
      <c r="G72" s="2">
        <v>20250731</v>
      </c>
      <c r="H72" s="2">
        <v>20250731</v>
      </c>
      <c r="I72" s="40" t="s">
        <v>784</v>
      </c>
      <c r="M72" s="40" t="s">
        <v>206</v>
      </c>
      <c r="N72" s="42"/>
      <c r="P72" s="47">
        <v>307030</v>
      </c>
      <c r="R72" s="47" t="s">
        <v>699</v>
      </c>
    </row>
    <row r="73" spans="1:18">
      <c r="A73" s="2">
        <v>1</v>
      </c>
      <c r="B73" s="2">
        <v>72</v>
      </c>
      <c r="C73" s="38" t="s">
        <v>114</v>
      </c>
      <c r="D73" s="4"/>
      <c r="E73" s="43" t="s">
        <v>698</v>
      </c>
      <c r="F73" s="2">
        <v>20250731</v>
      </c>
      <c r="G73" s="2">
        <v>20250731</v>
      </c>
      <c r="H73" s="2">
        <v>20250731</v>
      </c>
      <c r="I73" s="40" t="s">
        <v>709</v>
      </c>
      <c r="M73" s="40" t="s">
        <v>219</v>
      </c>
      <c r="N73" s="42"/>
      <c r="P73" s="47">
        <v>307030</v>
      </c>
      <c r="R73" s="47" t="s">
        <v>699</v>
      </c>
    </row>
    <row r="74" spans="1:18">
      <c r="A74" s="2">
        <v>1</v>
      </c>
      <c r="B74" s="2">
        <v>73</v>
      </c>
      <c r="C74" s="38" t="s">
        <v>114</v>
      </c>
      <c r="D74" s="4"/>
      <c r="E74" s="43" t="s">
        <v>698</v>
      </c>
      <c r="F74" s="2">
        <v>20250731</v>
      </c>
      <c r="G74" s="2">
        <v>20250731</v>
      </c>
      <c r="H74" s="2">
        <v>20250731</v>
      </c>
      <c r="I74" s="40" t="s">
        <v>801</v>
      </c>
      <c r="M74" s="40" t="s">
        <v>220</v>
      </c>
      <c r="N74" s="42"/>
      <c r="P74" s="47">
        <v>307030</v>
      </c>
      <c r="R74" s="47" t="s">
        <v>699</v>
      </c>
    </row>
    <row r="75" spans="1:18">
      <c r="A75" s="2">
        <v>1</v>
      </c>
      <c r="B75" s="2">
        <v>74</v>
      </c>
      <c r="C75" s="38" t="s">
        <v>114</v>
      </c>
      <c r="D75" s="4"/>
      <c r="E75" s="43" t="s">
        <v>698</v>
      </c>
      <c r="F75" s="2">
        <v>20250731</v>
      </c>
      <c r="G75" s="2">
        <v>20250731</v>
      </c>
      <c r="H75" s="2">
        <v>20250731</v>
      </c>
      <c r="I75" s="40" t="s">
        <v>789</v>
      </c>
      <c r="M75" s="40" t="s">
        <v>221</v>
      </c>
      <c r="N75" s="42"/>
      <c r="P75" s="47">
        <v>307030</v>
      </c>
      <c r="R75" s="47" t="s">
        <v>699</v>
      </c>
    </row>
    <row r="76" spans="1:18">
      <c r="A76" s="2">
        <v>1</v>
      </c>
      <c r="B76" s="2">
        <v>75</v>
      </c>
      <c r="C76" s="38" t="s">
        <v>114</v>
      </c>
      <c r="D76" s="4"/>
      <c r="E76" s="43" t="s">
        <v>698</v>
      </c>
      <c r="F76" s="2">
        <v>20250731</v>
      </c>
      <c r="G76" s="2">
        <v>20250731</v>
      </c>
      <c r="H76" s="2">
        <v>20250731</v>
      </c>
      <c r="I76" s="40" t="s">
        <v>919</v>
      </c>
      <c r="M76" s="40" t="s">
        <v>177</v>
      </c>
      <c r="N76" s="42"/>
      <c r="P76" s="47">
        <v>307030</v>
      </c>
      <c r="R76" s="47" t="s">
        <v>699</v>
      </c>
    </row>
    <row r="77" spans="1:18">
      <c r="A77" s="2">
        <v>1</v>
      </c>
      <c r="B77" s="2">
        <v>76</v>
      </c>
      <c r="C77" s="38" t="s">
        <v>114</v>
      </c>
      <c r="D77" s="4"/>
      <c r="E77" s="43" t="s">
        <v>698</v>
      </c>
      <c r="F77" s="2">
        <v>20250731</v>
      </c>
      <c r="G77" s="2">
        <v>20250731</v>
      </c>
      <c r="H77" s="2">
        <v>20250731</v>
      </c>
      <c r="I77" s="40" t="s">
        <v>1119</v>
      </c>
      <c r="M77" s="40" t="s">
        <v>177</v>
      </c>
      <c r="N77" s="42"/>
      <c r="P77" s="47">
        <v>307030</v>
      </c>
      <c r="R77" s="47" t="s">
        <v>699</v>
      </c>
    </row>
    <row r="78" spans="1:18">
      <c r="A78" s="2">
        <v>1</v>
      </c>
      <c r="B78" s="2">
        <v>77</v>
      </c>
      <c r="C78" s="38" t="s">
        <v>114</v>
      </c>
      <c r="D78" s="4"/>
      <c r="E78" s="43" t="s">
        <v>698</v>
      </c>
      <c r="F78" s="2">
        <v>20250731</v>
      </c>
      <c r="G78" s="2">
        <v>20250731</v>
      </c>
      <c r="H78" s="2">
        <v>20250731</v>
      </c>
      <c r="I78" s="40" t="s">
        <v>809</v>
      </c>
      <c r="M78" s="40" t="s">
        <v>167</v>
      </c>
      <c r="N78" s="42"/>
      <c r="P78" s="47">
        <v>307030</v>
      </c>
      <c r="R78" s="47" t="s">
        <v>699</v>
      </c>
    </row>
    <row r="79" spans="1:18">
      <c r="A79" s="2">
        <v>1</v>
      </c>
      <c r="B79" s="2">
        <v>78</v>
      </c>
      <c r="C79" s="38" t="s">
        <v>114</v>
      </c>
      <c r="D79" s="4"/>
      <c r="E79" s="43" t="s">
        <v>698</v>
      </c>
      <c r="F79" s="2">
        <v>20250731</v>
      </c>
      <c r="G79" s="2">
        <v>20250731</v>
      </c>
      <c r="H79" s="2">
        <v>20250731</v>
      </c>
      <c r="I79" s="40" t="s">
        <v>814</v>
      </c>
      <c r="M79" s="40" t="s">
        <v>222</v>
      </c>
      <c r="N79" s="42"/>
      <c r="P79" s="47">
        <v>307030</v>
      </c>
      <c r="R79" s="47" t="s">
        <v>699</v>
      </c>
    </row>
    <row r="80" spans="1:18">
      <c r="A80" s="2">
        <v>1</v>
      </c>
      <c r="B80" s="2">
        <v>79</v>
      </c>
      <c r="C80" s="38" t="s">
        <v>114</v>
      </c>
      <c r="D80" s="4"/>
      <c r="E80" s="43" t="s">
        <v>698</v>
      </c>
      <c r="F80" s="2">
        <v>20250731</v>
      </c>
      <c r="G80" s="2">
        <v>20250731</v>
      </c>
      <c r="H80" s="2">
        <v>20250731</v>
      </c>
      <c r="I80" s="40" t="s">
        <v>818</v>
      </c>
      <c r="M80" s="40" t="s">
        <v>216</v>
      </c>
      <c r="N80" s="42"/>
      <c r="P80" s="47">
        <v>307030</v>
      </c>
      <c r="R80" s="47" t="s">
        <v>699</v>
      </c>
    </row>
    <row r="81" spans="1:18">
      <c r="A81" s="2">
        <v>1</v>
      </c>
      <c r="B81" s="2">
        <v>80</v>
      </c>
      <c r="C81" s="38" t="s">
        <v>114</v>
      </c>
      <c r="D81" s="4"/>
      <c r="E81" s="43" t="s">
        <v>698</v>
      </c>
      <c r="F81" s="2">
        <v>20250731</v>
      </c>
      <c r="G81" s="2">
        <v>20250731</v>
      </c>
      <c r="H81" s="2">
        <v>20250731</v>
      </c>
      <c r="I81" s="40" t="s">
        <v>820</v>
      </c>
      <c r="M81" s="40" t="s">
        <v>174</v>
      </c>
      <c r="N81" s="42"/>
      <c r="P81" s="47">
        <v>307030</v>
      </c>
      <c r="R81" s="47" t="s">
        <v>699</v>
      </c>
    </row>
    <row r="82" spans="1:18">
      <c r="A82" s="2">
        <v>1</v>
      </c>
      <c r="B82" s="2">
        <v>81</v>
      </c>
      <c r="C82" s="38" t="s">
        <v>114</v>
      </c>
      <c r="D82" s="4"/>
      <c r="E82" s="43" t="s">
        <v>698</v>
      </c>
      <c r="F82" s="2">
        <v>20250731</v>
      </c>
      <c r="G82" s="2">
        <v>20250731</v>
      </c>
      <c r="H82" s="2">
        <v>20250731</v>
      </c>
      <c r="I82" s="40" t="s">
        <v>916</v>
      </c>
      <c r="M82" s="40" t="s">
        <v>222</v>
      </c>
      <c r="N82" s="42"/>
      <c r="P82" s="47">
        <v>307030</v>
      </c>
      <c r="R82" s="47" t="s">
        <v>699</v>
      </c>
    </row>
    <row r="83" spans="1:18">
      <c r="A83" s="2">
        <v>1</v>
      </c>
      <c r="B83" s="2">
        <v>82</v>
      </c>
      <c r="C83" s="38" t="s">
        <v>114</v>
      </c>
      <c r="D83" s="4"/>
      <c r="E83" s="43" t="s">
        <v>698</v>
      </c>
      <c r="F83" s="2">
        <v>20250731</v>
      </c>
      <c r="G83" s="2">
        <v>20250731</v>
      </c>
      <c r="H83" s="2">
        <v>20250731</v>
      </c>
      <c r="I83" s="40" t="s">
        <v>1034</v>
      </c>
      <c r="M83" s="40" t="s">
        <v>215</v>
      </c>
      <c r="N83" s="42"/>
      <c r="P83" s="47">
        <v>307030</v>
      </c>
      <c r="R83" s="47" t="s">
        <v>699</v>
      </c>
    </row>
    <row r="84" spans="1:18">
      <c r="A84" s="2">
        <v>1</v>
      </c>
      <c r="B84" s="2">
        <v>83</v>
      </c>
      <c r="C84" s="38" t="s">
        <v>114</v>
      </c>
      <c r="D84" s="4"/>
      <c r="E84" s="43" t="s">
        <v>698</v>
      </c>
      <c r="F84" s="2">
        <v>20250731</v>
      </c>
      <c r="G84" s="2">
        <v>20250731</v>
      </c>
      <c r="H84" s="2">
        <v>20250731</v>
      </c>
      <c r="I84" s="40" t="s">
        <v>1110</v>
      </c>
      <c r="M84" s="40" t="s">
        <v>223</v>
      </c>
      <c r="N84" s="42"/>
      <c r="P84" s="47">
        <v>307030</v>
      </c>
      <c r="R84" s="47" t="s">
        <v>699</v>
      </c>
    </row>
    <row r="85" spans="1:18">
      <c r="A85" s="2">
        <v>1</v>
      </c>
      <c r="B85" s="2">
        <v>84</v>
      </c>
      <c r="C85" s="38" t="s">
        <v>114</v>
      </c>
      <c r="D85" s="4"/>
      <c r="E85" s="43" t="s">
        <v>698</v>
      </c>
      <c r="F85" s="2">
        <v>20250731</v>
      </c>
      <c r="G85" s="2">
        <v>20250731</v>
      </c>
      <c r="H85" s="2">
        <v>20250731</v>
      </c>
      <c r="I85" s="40" t="s">
        <v>804</v>
      </c>
      <c r="M85" s="40" t="s">
        <v>224</v>
      </c>
      <c r="N85" s="42"/>
      <c r="P85" s="47">
        <v>307030</v>
      </c>
      <c r="R85" s="47" t="s">
        <v>699</v>
      </c>
    </row>
    <row r="86" spans="1:18">
      <c r="A86" s="2">
        <v>1</v>
      </c>
      <c r="B86" s="2">
        <v>85</v>
      </c>
      <c r="C86" s="38" t="s">
        <v>114</v>
      </c>
      <c r="D86" s="4"/>
      <c r="E86" s="43" t="s">
        <v>698</v>
      </c>
      <c r="F86" s="2">
        <v>20250731</v>
      </c>
      <c r="G86" s="2">
        <v>20250731</v>
      </c>
      <c r="H86" s="2">
        <v>20250731</v>
      </c>
      <c r="I86" s="40" t="s">
        <v>808</v>
      </c>
      <c r="M86" s="40" t="s">
        <v>225</v>
      </c>
      <c r="N86" s="42"/>
      <c r="P86" s="47">
        <v>307030</v>
      </c>
      <c r="R86" s="47" t="s">
        <v>699</v>
      </c>
    </row>
    <row r="87" spans="1:18">
      <c r="A87" s="2">
        <v>1</v>
      </c>
      <c r="B87" s="2">
        <v>86</v>
      </c>
      <c r="C87" s="38" t="s">
        <v>114</v>
      </c>
      <c r="D87" s="4"/>
      <c r="E87" s="43" t="s">
        <v>698</v>
      </c>
      <c r="F87" s="2">
        <v>20250731</v>
      </c>
      <c r="G87" s="2">
        <v>20250731</v>
      </c>
      <c r="H87" s="2">
        <v>20250731</v>
      </c>
      <c r="I87" s="40" t="s">
        <v>758</v>
      </c>
      <c r="M87" s="40" t="s">
        <v>226</v>
      </c>
      <c r="N87" s="42"/>
      <c r="P87" s="47">
        <v>307030</v>
      </c>
      <c r="R87" s="47" t="s">
        <v>699</v>
      </c>
    </row>
    <row r="88" spans="1:18">
      <c r="A88" s="2">
        <v>1</v>
      </c>
      <c r="B88" s="2">
        <v>87</v>
      </c>
      <c r="C88" s="38" t="s">
        <v>114</v>
      </c>
      <c r="D88" s="4"/>
      <c r="E88" s="43" t="s">
        <v>698</v>
      </c>
      <c r="F88" s="2">
        <v>20250731</v>
      </c>
      <c r="G88" s="2">
        <v>20250731</v>
      </c>
      <c r="H88" s="2">
        <v>20250731</v>
      </c>
      <c r="I88" s="40" t="s">
        <v>705</v>
      </c>
      <c r="M88" s="40" t="s">
        <v>227</v>
      </c>
      <c r="N88" s="42"/>
      <c r="P88" s="47">
        <v>307030</v>
      </c>
      <c r="R88" s="47" t="s">
        <v>699</v>
      </c>
    </row>
    <row r="89" spans="1:18">
      <c r="A89" s="2">
        <v>1</v>
      </c>
      <c r="B89" s="2">
        <v>88</v>
      </c>
      <c r="C89" s="38" t="s">
        <v>114</v>
      </c>
      <c r="D89" s="4"/>
      <c r="E89" s="43" t="s">
        <v>698</v>
      </c>
      <c r="F89" s="2">
        <v>20250731</v>
      </c>
      <c r="G89" s="2">
        <v>20250731</v>
      </c>
      <c r="H89" s="2">
        <v>20250731</v>
      </c>
      <c r="I89" s="40" t="s">
        <v>783</v>
      </c>
      <c r="M89" s="40" t="s">
        <v>156</v>
      </c>
      <c r="N89" s="42"/>
      <c r="P89" s="47">
        <v>307030</v>
      </c>
      <c r="R89" s="47" t="s">
        <v>699</v>
      </c>
    </row>
    <row r="90" spans="1:18">
      <c r="A90" s="2">
        <v>1</v>
      </c>
      <c r="B90" s="2">
        <v>89</v>
      </c>
      <c r="C90" s="38" t="s">
        <v>114</v>
      </c>
      <c r="D90" s="4"/>
      <c r="E90" s="43" t="s">
        <v>698</v>
      </c>
      <c r="F90" s="2">
        <v>20250731</v>
      </c>
      <c r="G90" s="2">
        <v>20250731</v>
      </c>
      <c r="H90" s="2">
        <v>20250731</v>
      </c>
      <c r="I90" s="40" t="s">
        <v>786</v>
      </c>
      <c r="M90" s="40" t="s">
        <v>228</v>
      </c>
      <c r="N90" s="42"/>
      <c r="P90" s="47">
        <v>307030</v>
      </c>
      <c r="R90" s="47" t="s">
        <v>699</v>
      </c>
    </row>
    <row r="91" spans="1:18">
      <c r="A91" s="2">
        <v>1</v>
      </c>
      <c r="B91" s="2">
        <v>90</v>
      </c>
      <c r="C91" s="38" t="s">
        <v>114</v>
      </c>
      <c r="D91" s="4"/>
      <c r="E91" s="43" t="s">
        <v>698</v>
      </c>
      <c r="F91" s="2">
        <v>20250731</v>
      </c>
      <c r="G91" s="2">
        <v>20250731</v>
      </c>
      <c r="H91" s="2">
        <v>20250731</v>
      </c>
      <c r="I91" s="40" t="s">
        <v>795</v>
      </c>
      <c r="M91" s="40" t="s">
        <v>163</v>
      </c>
      <c r="N91" s="42"/>
      <c r="P91" s="47">
        <v>307030</v>
      </c>
      <c r="R91" s="47" t="s">
        <v>699</v>
      </c>
    </row>
    <row r="92" spans="1:18">
      <c r="A92" s="2">
        <v>1</v>
      </c>
      <c r="B92" s="2">
        <v>91</v>
      </c>
      <c r="C92" s="38" t="s">
        <v>114</v>
      </c>
      <c r="D92" s="4"/>
      <c r="E92" s="43" t="s">
        <v>698</v>
      </c>
      <c r="F92" s="2">
        <v>20250731</v>
      </c>
      <c r="G92" s="2">
        <v>20250731</v>
      </c>
      <c r="H92" s="2">
        <v>20250731</v>
      </c>
      <c r="I92" s="40" t="s">
        <v>840</v>
      </c>
      <c r="M92" s="40" t="s">
        <v>229</v>
      </c>
      <c r="N92" s="42"/>
      <c r="P92" s="47">
        <v>307030</v>
      </c>
      <c r="R92" s="47" t="s">
        <v>699</v>
      </c>
    </row>
    <row r="93" spans="1:18">
      <c r="A93" s="2">
        <v>1</v>
      </c>
      <c r="B93" s="2">
        <v>92</v>
      </c>
      <c r="C93" s="38" t="s">
        <v>114</v>
      </c>
      <c r="D93" s="4"/>
      <c r="E93" s="43" t="s">
        <v>698</v>
      </c>
      <c r="F93" s="2">
        <v>20250731</v>
      </c>
      <c r="G93" s="2">
        <v>20250731</v>
      </c>
      <c r="H93" s="2">
        <v>20250731</v>
      </c>
      <c r="I93" s="40" t="s">
        <v>805</v>
      </c>
      <c r="M93" s="40" t="s">
        <v>166</v>
      </c>
      <c r="N93" s="42"/>
      <c r="P93" s="47">
        <v>307030</v>
      </c>
      <c r="R93" s="47" t="s">
        <v>699</v>
      </c>
    </row>
    <row r="94" spans="1:18">
      <c r="A94" s="2">
        <v>1</v>
      </c>
      <c r="B94" s="2">
        <v>93</v>
      </c>
      <c r="C94" s="38" t="s">
        <v>114</v>
      </c>
      <c r="D94" s="4"/>
      <c r="E94" s="43" t="s">
        <v>698</v>
      </c>
      <c r="F94" s="2">
        <v>20250731</v>
      </c>
      <c r="G94" s="2">
        <v>20250731</v>
      </c>
      <c r="H94" s="2">
        <v>20250731</v>
      </c>
      <c r="I94" s="40" t="s">
        <v>749</v>
      </c>
      <c r="M94" s="40" t="s">
        <v>230</v>
      </c>
      <c r="N94" s="42"/>
      <c r="P94" s="47">
        <v>307030</v>
      </c>
      <c r="R94" s="47" t="s">
        <v>699</v>
      </c>
    </row>
    <row r="95" spans="1:18">
      <c r="A95" s="2">
        <v>1</v>
      </c>
      <c r="B95" s="2">
        <v>94</v>
      </c>
      <c r="C95" s="38" t="s">
        <v>114</v>
      </c>
      <c r="D95" s="4"/>
      <c r="E95" s="43" t="s">
        <v>698</v>
      </c>
      <c r="F95" s="2">
        <v>20250731</v>
      </c>
      <c r="G95" s="2">
        <v>20250731</v>
      </c>
      <c r="H95" s="2">
        <v>20250731</v>
      </c>
      <c r="I95" s="40" t="s">
        <v>751</v>
      </c>
      <c r="M95" s="40" t="s">
        <v>218</v>
      </c>
      <c r="N95" s="42"/>
      <c r="P95" s="47">
        <v>307030</v>
      </c>
      <c r="R95" s="47" t="s">
        <v>699</v>
      </c>
    </row>
    <row r="96" spans="1:18">
      <c r="A96" s="2">
        <v>1</v>
      </c>
      <c r="B96" s="2">
        <v>95</v>
      </c>
      <c r="C96" s="38" t="s">
        <v>114</v>
      </c>
      <c r="D96" s="4"/>
      <c r="E96" s="43" t="s">
        <v>698</v>
      </c>
      <c r="F96" s="2">
        <v>20250731</v>
      </c>
      <c r="G96" s="2">
        <v>20250731</v>
      </c>
      <c r="H96" s="2">
        <v>20250731</v>
      </c>
      <c r="I96" s="40" t="s">
        <v>752</v>
      </c>
      <c r="M96" s="40" t="s">
        <v>231</v>
      </c>
      <c r="N96" s="42"/>
      <c r="P96" s="47">
        <v>307030</v>
      </c>
      <c r="R96" s="47" t="s">
        <v>699</v>
      </c>
    </row>
    <row r="97" spans="1:18">
      <c r="A97" s="2">
        <v>1</v>
      </c>
      <c r="B97" s="2">
        <v>96</v>
      </c>
      <c r="C97" s="38" t="s">
        <v>114</v>
      </c>
      <c r="D97" s="4"/>
      <c r="E97" s="43" t="s">
        <v>698</v>
      </c>
      <c r="F97" s="2">
        <v>20250731</v>
      </c>
      <c r="G97" s="2">
        <v>20250731</v>
      </c>
      <c r="H97" s="2">
        <v>20250731</v>
      </c>
      <c r="I97" s="40" t="s">
        <v>1126</v>
      </c>
      <c r="M97" s="40" t="s">
        <v>206</v>
      </c>
      <c r="N97" s="42"/>
      <c r="P97" s="47">
        <v>307030</v>
      </c>
      <c r="R97" s="47" t="s">
        <v>699</v>
      </c>
    </row>
    <row r="98" spans="1:18">
      <c r="A98" s="2">
        <v>1</v>
      </c>
      <c r="B98" s="2">
        <v>97</v>
      </c>
      <c r="C98" s="38" t="s">
        <v>114</v>
      </c>
      <c r="D98" s="4"/>
      <c r="E98" s="43" t="s">
        <v>698</v>
      </c>
      <c r="F98" s="2">
        <v>20250731</v>
      </c>
      <c r="G98" s="2">
        <v>20250731</v>
      </c>
      <c r="H98" s="2">
        <v>20250731</v>
      </c>
      <c r="I98" s="40" t="s">
        <v>813</v>
      </c>
      <c r="M98" s="40" t="s">
        <v>135</v>
      </c>
      <c r="N98" s="42"/>
      <c r="P98" s="47">
        <v>307030</v>
      </c>
      <c r="R98" s="47" t="s">
        <v>699</v>
      </c>
    </row>
    <row r="99" spans="1:18">
      <c r="A99" s="2">
        <v>1</v>
      </c>
      <c r="B99" s="2">
        <v>98</v>
      </c>
      <c r="C99" s="38" t="s">
        <v>114</v>
      </c>
      <c r="D99" s="4"/>
      <c r="E99" s="43" t="s">
        <v>698</v>
      </c>
      <c r="F99" s="2">
        <v>20250731</v>
      </c>
      <c r="G99" s="2">
        <v>20250731</v>
      </c>
      <c r="H99" s="2">
        <v>20250731</v>
      </c>
      <c r="I99" s="40" t="s">
        <v>762</v>
      </c>
      <c r="M99" s="40" t="s">
        <v>166</v>
      </c>
      <c r="N99" s="42"/>
      <c r="P99" s="47">
        <v>307030</v>
      </c>
      <c r="R99" s="47" t="s">
        <v>699</v>
      </c>
    </row>
    <row r="100" spans="1:18">
      <c r="A100" s="2">
        <v>1</v>
      </c>
      <c r="B100" s="2">
        <v>99</v>
      </c>
      <c r="C100" s="38" t="s">
        <v>114</v>
      </c>
      <c r="D100" s="4"/>
      <c r="E100" s="43" t="s">
        <v>698</v>
      </c>
      <c r="F100" s="2">
        <v>20250731</v>
      </c>
      <c r="G100" s="2">
        <v>20250731</v>
      </c>
      <c r="H100" s="2">
        <v>20250731</v>
      </c>
      <c r="I100" s="40" t="s">
        <v>765</v>
      </c>
      <c r="M100" s="40" t="s">
        <v>232</v>
      </c>
      <c r="N100" s="42"/>
      <c r="P100" s="47">
        <v>307030</v>
      </c>
      <c r="R100" s="47" t="s">
        <v>699</v>
      </c>
    </row>
    <row r="101" spans="1:18">
      <c r="A101" s="2">
        <v>1</v>
      </c>
      <c r="B101" s="2">
        <v>100</v>
      </c>
      <c r="C101" s="38" t="s">
        <v>114</v>
      </c>
      <c r="D101" s="4"/>
      <c r="E101" s="43" t="s">
        <v>698</v>
      </c>
      <c r="F101" s="2">
        <v>20250731</v>
      </c>
      <c r="G101" s="2">
        <v>20250731</v>
      </c>
      <c r="H101" s="2">
        <v>20250731</v>
      </c>
      <c r="I101" s="40" t="s">
        <v>715</v>
      </c>
      <c r="M101" s="40" t="s">
        <v>168</v>
      </c>
      <c r="N101" s="42"/>
      <c r="P101" s="47">
        <v>307030</v>
      </c>
      <c r="R101" s="47" t="s">
        <v>699</v>
      </c>
    </row>
    <row r="102" spans="1:18">
      <c r="A102" s="2">
        <v>1</v>
      </c>
      <c r="B102" s="2">
        <v>101</v>
      </c>
      <c r="C102" s="38" t="s">
        <v>114</v>
      </c>
      <c r="D102" s="4"/>
      <c r="E102" s="43" t="s">
        <v>698</v>
      </c>
      <c r="F102" s="2">
        <v>20250731</v>
      </c>
      <c r="G102" s="2">
        <v>20250731</v>
      </c>
      <c r="H102" s="2">
        <v>20250731</v>
      </c>
      <c r="I102" s="40" t="s">
        <v>713</v>
      </c>
      <c r="M102" s="40" t="s">
        <v>233</v>
      </c>
      <c r="N102" s="42"/>
      <c r="P102" s="47">
        <v>307030</v>
      </c>
      <c r="R102" s="47" t="s">
        <v>699</v>
      </c>
    </row>
    <row r="103" spans="1:18">
      <c r="A103" s="2">
        <v>1</v>
      </c>
      <c r="B103" s="2">
        <v>102</v>
      </c>
      <c r="C103" s="38" t="s">
        <v>114</v>
      </c>
      <c r="D103" s="4"/>
      <c r="E103" s="43" t="s">
        <v>698</v>
      </c>
      <c r="F103" s="2">
        <v>20250731</v>
      </c>
      <c r="G103" s="2">
        <v>20250731</v>
      </c>
      <c r="H103" s="2">
        <v>20250731</v>
      </c>
      <c r="I103" s="40" t="s">
        <v>807</v>
      </c>
      <c r="M103" s="40" t="s">
        <v>234</v>
      </c>
      <c r="N103" s="42"/>
      <c r="P103" s="47">
        <v>307030</v>
      </c>
      <c r="R103" s="47" t="s">
        <v>699</v>
      </c>
    </row>
    <row r="104" spans="1:18">
      <c r="A104" s="2">
        <v>1</v>
      </c>
      <c r="B104" s="2">
        <v>103</v>
      </c>
      <c r="C104" s="38" t="s">
        <v>114</v>
      </c>
      <c r="D104" s="4"/>
      <c r="E104" s="43" t="s">
        <v>698</v>
      </c>
      <c r="F104" s="2">
        <v>20250731</v>
      </c>
      <c r="G104" s="2">
        <v>20250731</v>
      </c>
      <c r="H104" s="2">
        <v>20250731</v>
      </c>
      <c r="I104" s="40" t="s">
        <v>810</v>
      </c>
      <c r="M104" s="40" t="s">
        <v>200</v>
      </c>
      <c r="N104" s="42"/>
      <c r="P104" s="47">
        <v>307030</v>
      </c>
      <c r="R104" s="47" t="s">
        <v>699</v>
      </c>
    </row>
    <row r="105" spans="1:18">
      <c r="A105" s="2">
        <v>1</v>
      </c>
      <c r="B105" s="2">
        <v>104</v>
      </c>
      <c r="C105" s="38" t="s">
        <v>114</v>
      </c>
      <c r="D105" s="4"/>
      <c r="E105" s="43" t="s">
        <v>698</v>
      </c>
      <c r="F105" s="2">
        <v>20250731</v>
      </c>
      <c r="G105" s="2">
        <v>20250731</v>
      </c>
      <c r="H105" s="2">
        <v>20250731</v>
      </c>
      <c r="I105" s="40" t="s">
        <v>811</v>
      </c>
      <c r="M105" s="40" t="s">
        <v>155</v>
      </c>
      <c r="N105" s="42"/>
      <c r="P105" s="47">
        <v>307030</v>
      </c>
      <c r="R105" s="47" t="s">
        <v>699</v>
      </c>
    </row>
    <row r="106" spans="1:18">
      <c r="A106" s="2">
        <v>1</v>
      </c>
      <c r="B106" s="2">
        <v>105</v>
      </c>
      <c r="C106" s="38" t="s">
        <v>114</v>
      </c>
      <c r="D106" s="4"/>
      <c r="E106" s="43" t="s">
        <v>698</v>
      </c>
      <c r="F106" s="2">
        <v>20250731</v>
      </c>
      <c r="G106" s="2">
        <v>20250731</v>
      </c>
      <c r="H106" s="2">
        <v>20250731</v>
      </c>
      <c r="I106" s="40" t="s">
        <v>1130</v>
      </c>
      <c r="M106" s="40" t="s">
        <v>133</v>
      </c>
      <c r="N106" s="42"/>
      <c r="P106" s="47">
        <v>307030</v>
      </c>
      <c r="R106" s="47" t="s">
        <v>699</v>
      </c>
    </row>
    <row r="107" spans="1:18">
      <c r="A107" s="2">
        <v>1</v>
      </c>
      <c r="B107" s="2">
        <v>106</v>
      </c>
      <c r="C107" s="38" t="s">
        <v>114</v>
      </c>
      <c r="D107" s="4"/>
      <c r="E107" s="43" t="s">
        <v>698</v>
      </c>
      <c r="F107" s="2">
        <v>20250731</v>
      </c>
      <c r="G107" s="2">
        <v>20250731</v>
      </c>
      <c r="H107" s="2">
        <v>20250731</v>
      </c>
      <c r="I107" s="40" t="s">
        <v>753</v>
      </c>
      <c r="M107" s="40" t="s">
        <v>166</v>
      </c>
      <c r="N107" s="42"/>
      <c r="P107" s="47">
        <v>307030</v>
      </c>
      <c r="R107" s="47" t="s">
        <v>699</v>
      </c>
    </row>
    <row r="108" spans="1:18">
      <c r="A108" s="2">
        <v>1</v>
      </c>
      <c r="B108" s="2">
        <v>107</v>
      </c>
      <c r="C108" s="38" t="s">
        <v>114</v>
      </c>
      <c r="D108" s="4"/>
      <c r="E108" s="43" t="s">
        <v>698</v>
      </c>
      <c r="F108" s="2">
        <v>20250731</v>
      </c>
      <c r="G108" s="2">
        <v>20250731</v>
      </c>
      <c r="H108" s="2">
        <v>20250731</v>
      </c>
      <c r="I108" s="40" t="s">
        <v>825</v>
      </c>
      <c r="M108" s="40" t="s">
        <v>235</v>
      </c>
      <c r="N108" s="42"/>
      <c r="P108" s="47">
        <v>307030</v>
      </c>
      <c r="R108" s="47" t="s">
        <v>699</v>
      </c>
    </row>
    <row r="109" spans="1:18">
      <c r="A109" s="2">
        <v>1</v>
      </c>
      <c r="B109" s="2">
        <v>108</v>
      </c>
      <c r="C109" s="38" t="s">
        <v>114</v>
      </c>
      <c r="D109" s="4"/>
      <c r="E109" s="43" t="s">
        <v>698</v>
      </c>
      <c r="F109" s="2">
        <v>20250731</v>
      </c>
      <c r="G109" s="2">
        <v>20250731</v>
      </c>
      <c r="H109" s="2">
        <v>20250731</v>
      </c>
      <c r="I109" s="40" t="s">
        <v>828</v>
      </c>
      <c r="M109" s="40" t="s">
        <v>172</v>
      </c>
      <c r="N109" s="42"/>
      <c r="P109" s="47">
        <v>307030</v>
      </c>
      <c r="R109" s="47" t="s">
        <v>699</v>
      </c>
    </row>
    <row r="110" spans="1:18">
      <c r="A110" s="2">
        <v>1</v>
      </c>
      <c r="B110" s="2">
        <v>109</v>
      </c>
      <c r="C110" s="38" t="s">
        <v>114</v>
      </c>
      <c r="D110" s="4"/>
      <c r="E110" s="43" t="s">
        <v>698</v>
      </c>
      <c r="F110" s="2">
        <v>20250731</v>
      </c>
      <c r="G110" s="2">
        <v>20250731</v>
      </c>
      <c r="H110" s="2">
        <v>20250731</v>
      </c>
      <c r="I110" s="40" t="s">
        <v>833</v>
      </c>
      <c r="M110" s="40" t="s">
        <v>236</v>
      </c>
      <c r="N110" s="42"/>
      <c r="P110" s="47">
        <v>307030</v>
      </c>
      <c r="R110" s="47" t="s">
        <v>699</v>
      </c>
    </row>
    <row r="111" spans="1:18">
      <c r="A111" s="2">
        <v>1</v>
      </c>
      <c r="B111" s="2">
        <v>110</v>
      </c>
      <c r="C111" s="38" t="s">
        <v>114</v>
      </c>
      <c r="D111" s="4"/>
      <c r="E111" s="43" t="s">
        <v>698</v>
      </c>
      <c r="F111" s="2">
        <v>20250731</v>
      </c>
      <c r="G111" s="2">
        <v>20250731</v>
      </c>
      <c r="H111" s="2">
        <v>20250731</v>
      </c>
      <c r="I111" s="40" t="s">
        <v>834</v>
      </c>
      <c r="M111" s="40" t="s">
        <v>159</v>
      </c>
      <c r="N111" s="42"/>
      <c r="P111" s="47">
        <v>307030</v>
      </c>
      <c r="R111" s="47" t="s">
        <v>699</v>
      </c>
    </row>
    <row r="112" spans="1:18">
      <c r="A112" s="2">
        <v>1</v>
      </c>
      <c r="B112" s="2">
        <v>111</v>
      </c>
      <c r="C112" s="38" t="s">
        <v>114</v>
      </c>
      <c r="D112" s="4"/>
      <c r="E112" s="43" t="s">
        <v>698</v>
      </c>
      <c r="F112" s="2">
        <v>20250731</v>
      </c>
      <c r="G112" s="2">
        <v>20250731</v>
      </c>
      <c r="H112" s="2">
        <v>20250731</v>
      </c>
      <c r="I112" s="40" t="s">
        <v>720</v>
      </c>
      <c r="M112" s="40" t="s">
        <v>237</v>
      </c>
      <c r="N112" s="42"/>
      <c r="P112" s="47">
        <v>307030</v>
      </c>
      <c r="R112" s="47" t="s">
        <v>699</v>
      </c>
    </row>
    <row r="113" spans="1:18">
      <c r="A113" s="2">
        <v>1</v>
      </c>
      <c r="B113" s="2">
        <v>112</v>
      </c>
      <c r="C113" s="38" t="s">
        <v>114</v>
      </c>
      <c r="D113" s="4"/>
      <c r="E113" s="43" t="s">
        <v>698</v>
      </c>
      <c r="F113" s="2">
        <v>20250731</v>
      </c>
      <c r="G113" s="2">
        <v>20250731</v>
      </c>
      <c r="H113" s="2">
        <v>20250731</v>
      </c>
      <c r="I113" s="40" t="s">
        <v>846</v>
      </c>
      <c r="M113" s="40" t="s">
        <v>238</v>
      </c>
      <c r="N113" s="42"/>
      <c r="P113" s="47">
        <v>307030</v>
      </c>
      <c r="R113" s="47" t="s">
        <v>699</v>
      </c>
    </row>
    <row r="114" spans="1:18">
      <c r="A114" s="2">
        <v>1</v>
      </c>
      <c r="B114" s="2">
        <v>113</v>
      </c>
      <c r="C114" s="38" t="s">
        <v>114</v>
      </c>
      <c r="D114" s="4"/>
      <c r="E114" s="43" t="s">
        <v>698</v>
      </c>
      <c r="F114" s="2">
        <v>20250731</v>
      </c>
      <c r="G114" s="2">
        <v>20250731</v>
      </c>
      <c r="H114" s="2">
        <v>20250731</v>
      </c>
      <c r="I114" s="40" t="s">
        <v>1134</v>
      </c>
      <c r="M114" s="40" t="s">
        <v>239</v>
      </c>
      <c r="N114" s="42"/>
      <c r="P114" s="47">
        <v>307030</v>
      </c>
      <c r="R114" s="47" t="s">
        <v>699</v>
      </c>
    </row>
    <row r="115" spans="1:18">
      <c r="A115" s="2">
        <v>1</v>
      </c>
      <c r="B115" s="2">
        <v>114</v>
      </c>
      <c r="C115" s="38" t="s">
        <v>114</v>
      </c>
      <c r="D115" s="4"/>
      <c r="E115" s="43" t="s">
        <v>698</v>
      </c>
      <c r="F115" s="2">
        <v>20250731</v>
      </c>
      <c r="G115" s="2">
        <v>20250731</v>
      </c>
      <c r="H115" s="2">
        <v>20250731</v>
      </c>
      <c r="I115" s="40" t="s">
        <v>1136</v>
      </c>
      <c r="M115" s="40" t="s">
        <v>240</v>
      </c>
      <c r="N115" s="42"/>
      <c r="P115" s="47">
        <v>307030</v>
      </c>
      <c r="R115" s="47" t="s">
        <v>699</v>
      </c>
    </row>
    <row r="116" spans="1:18">
      <c r="A116" s="2">
        <v>1</v>
      </c>
      <c r="B116" s="2">
        <v>115</v>
      </c>
      <c r="C116" s="38" t="s">
        <v>114</v>
      </c>
      <c r="D116" s="4"/>
      <c r="E116" s="43" t="s">
        <v>698</v>
      </c>
      <c r="F116" s="2">
        <v>20250731</v>
      </c>
      <c r="G116" s="2">
        <v>20250731</v>
      </c>
      <c r="H116" s="2">
        <v>20250731</v>
      </c>
      <c r="I116" s="40" t="s">
        <v>1154</v>
      </c>
      <c r="M116" s="40" t="s">
        <v>241</v>
      </c>
      <c r="N116" s="42"/>
      <c r="P116" s="47">
        <v>307030</v>
      </c>
      <c r="R116" s="47" t="s">
        <v>699</v>
      </c>
    </row>
    <row r="117" spans="1:18">
      <c r="A117" s="2">
        <v>1</v>
      </c>
      <c r="B117" s="2">
        <v>116</v>
      </c>
      <c r="C117" s="38" t="s">
        <v>114</v>
      </c>
      <c r="D117" s="4"/>
      <c r="E117" s="43" t="s">
        <v>698</v>
      </c>
      <c r="F117" s="2">
        <v>20250731</v>
      </c>
      <c r="G117" s="2">
        <v>20250731</v>
      </c>
      <c r="H117" s="2">
        <v>20250731</v>
      </c>
      <c r="I117" s="40" t="s">
        <v>870</v>
      </c>
      <c r="M117" s="40" t="s">
        <v>242</v>
      </c>
      <c r="N117" s="42"/>
      <c r="P117" s="47">
        <v>307030</v>
      </c>
      <c r="R117" s="47" t="s">
        <v>699</v>
      </c>
    </row>
    <row r="118" spans="1:18">
      <c r="A118" s="2">
        <v>1</v>
      </c>
      <c r="B118" s="2">
        <v>117</v>
      </c>
      <c r="C118" s="38" t="s">
        <v>114</v>
      </c>
      <c r="D118" s="4"/>
      <c r="E118" s="43" t="s">
        <v>698</v>
      </c>
      <c r="F118" s="2">
        <v>20250731</v>
      </c>
      <c r="G118" s="2">
        <v>20250731</v>
      </c>
      <c r="H118" s="2">
        <v>20250731</v>
      </c>
      <c r="I118" s="40" t="s">
        <v>871</v>
      </c>
      <c r="M118" s="40" t="s">
        <v>243</v>
      </c>
      <c r="N118" s="42"/>
      <c r="P118" s="47">
        <v>307030</v>
      </c>
      <c r="R118" s="47" t="s">
        <v>699</v>
      </c>
    </row>
    <row r="119" spans="1:18">
      <c r="A119" s="2">
        <v>1</v>
      </c>
      <c r="B119" s="2">
        <v>118</v>
      </c>
      <c r="C119" s="38" t="s">
        <v>114</v>
      </c>
      <c r="D119" s="4"/>
      <c r="E119" s="43" t="s">
        <v>698</v>
      </c>
      <c r="F119" s="2">
        <v>20250731</v>
      </c>
      <c r="G119" s="2">
        <v>20250731</v>
      </c>
      <c r="H119" s="2">
        <v>20250731</v>
      </c>
      <c r="I119" s="40" t="s">
        <v>873</v>
      </c>
      <c r="M119" s="40" t="s">
        <v>244</v>
      </c>
      <c r="N119" s="42"/>
      <c r="P119" s="47">
        <v>307030</v>
      </c>
      <c r="R119" s="47" t="s">
        <v>699</v>
      </c>
    </row>
    <row r="120" spans="1:18">
      <c r="A120" s="2">
        <v>1</v>
      </c>
      <c r="B120" s="2">
        <v>119</v>
      </c>
      <c r="C120" s="38" t="s">
        <v>114</v>
      </c>
      <c r="D120" s="4"/>
      <c r="E120" s="43" t="s">
        <v>698</v>
      </c>
      <c r="F120" s="2">
        <v>20250731</v>
      </c>
      <c r="G120" s="2">
        <v>20250731</v>
      </c>
      <c r="H120" s="2">
        <v>20250731</v>
      </c>
      <c r="I120" s="40" t="s">
        <v>886</v>
      </c>
      <c r="M120" s="40" t="s">
        <v>242</v>
      </c>
      <c r="N120" s="42"/>
      <c r="P120" s="47">
        <v>307030</v>
      </c>
      <c r="R120" s="47" t="s">
        <v>699</v>
      </c>
    </row>
    <row r="121" spans="1:18">
      <c r="A121" s="2">
        <v>1</v>
      </c>
      <c r="B121" s="2">
        <v>120</v>
      </c>
      <c r="C121" s="38" t="s">
        <v>114</v>
      </c>
      <c r="D121" s="4"/>
      <c r="E121" s="43" t="s">
        <v>698</v>
      </c>
      <c r="F121" s="2">
        <v>20250731</v>
      </c>
      <c r="G121" s="2">
        <v>20250731</v>
      </c>
      <c r="H121" s="2">
        <v>20250731</v>
      </c>
      <c r="I121" s="40" t="s">
        <v>889</v>
      </c>
      <c r="M121" s="40" t="s">
        <v>245</v>
      </c>
      <c r="N121" s="42"/>
      <c r="P121" s="47">
        <v>307030</v>
      </c>
      <c r="R121" s="47" t="s">
        <v>699</v>
      </c>
    </row>
    <row r="122" spans="1:18">
      <c r="A122" s="2">
        <v>1</v>
      </c>
      <c r="B122" s="2">
        <v>121</v>
      </c>
      <c r="C122" s="38" t="s">
        <v>114</v>
      </c>
      <c r="D122" s="4"/>
      <c r="E122" s="43" t="s">
        <v>698</v>
      </c>
      <c r="F122" s="2">
        <v>20250731</v>
      </c>
      <c r="G122" s="2">
        <v>20250731</v>
      </c>
      <c r="H122" s="2">
        <v>20250731</v>
      </c>
      <c r="I122" s="40" t="s">
        <v>893</v>
      </c>
      <c r="M122" s="40" t="s">
        <v>246</v>
      </c>
      <c r="N122" s="42"/>
      <c r="P122" s="47">
        <v>307030</v>
      </c>
      <c r="R122" s="47" t="s">
        <v>699</v>
      </c>
    </row>
    <row r="123" spans="1:18">
      <c r="A123" s="2">
        <v>1</v>
      </c>
      <c r="B123" s="2">
        <v>122</v>
      </c>
      <c r="C123" s="38" t="s">
        <v>114</v>
      </c>
      <c r="D123" s="4"/>
      <c r="E123" s="43" t="s">
        <v>698</v>
      </c>
      <c r="F123" s="2">
        <v>20250731</v>
      </c>
      <c r="G123" s="2">
        <v>20250731</v>
      </c>
      <c r="H123" s="2">
        <v>20250731</v>
      </c>
      <c r="I123" s="40" t="s">
        <v>895</v>
      </c>
      <c r="M123" s="40" t="s">
        <v>247</v>
      </c>
      <c r="N123" s="42"/>
      <c r="P123" s="47">
        <v>307030</v>
      </c>
      <c r="R123" s="47" t="s">
        <v>699</v>
      </c>
    </row>
    <row r="124" spans="1:18">
      <c r="A124" s="2">
        <v>1</v>
      </c>
      <c r="B124" s="2">
        <v>123</v>
      </c>
      <c r="C124" s="38" t="s">
        <v>114</v>
      </c>
      <c r="D124" s="4"/>
      <c r="E124" s="43" t="s">
        <v>698</v>
      </c>
      <c r="F124" s="2">
        <v>20250731</v>
      </c>
      <c r="G124" s="2">
        <v>20250731</v>
      </c>
      <c r="H124" s="2">
        <v>20250731</v>
      </c>
      <c r="I124" s="40" t="s">
        <v>728</v>
      </c>
      <c r="M124" s="40" t="s">
        <v>245</v>
      </c>
      <c r="N124" s="42"/>
      <c r="P124" s="47">
        <v>307030</v>
      </c>
      <c r="R124" s="47" t="s">
        <v>699</v>
      </c>
    </row>
    <row r="125" spans="1:18">
      <c r="A125" s="2">
        <v>1</v>
      </c>
      <c r="B125" s="2">
        <v>124</v>
      </c>
      <c r="C125" s="38" t="s">
        <v>114</v>
      </c>
      <c r="D125" s="4"/>
      <c r="E125" s="43" t="s">
        <v>698</v>
      </c>
      <c r="F125" s="2">
        <v>20250731</v>
      </c>
      <c r="G125" s="2">
        <v>20250731</v>
      </c>
      <c r="H125" s="2">
        <v>20250731</v>
      </c>
      <c r="I125" s="40" t="s">
        <v>903</v>
      </c>
      <c r="M125" s="40" t="s">
        <v>240</v>
      </c>
      <c r="N125" s="42"/>
      <c r="P125" s="47">
        <v>307030</v>
      </c>
      <c r="R125" s="47" t="s">
        <v>699</v>
      </c>
    </row>
    <row r="126" spans="1:18">
      <c r="A126" s="2">
        <v>1</v>
      </c>
      <c r="B126" s="2">
        <v>125</v>
      </c>
      <c r="C126" s="38" t="s">
        <v>114</v>
      </c>
      <c r="D126" s="4"/>
      <c r="E126" s="43" t="s">
        <v>698</v>
      </c>
      <c r="F126" s="2">
        <v>20250731</v>
      </c>
      <c r="G126" s="2">
        <v>20250731</v>
      </c>
      <c r="H126" s="2">
        <v>20250731</v>
      </c>
      <c r="I126" s="40" t="s">
        <v>904</v>
      </c>
      <c r="M126" s="40" t="s">
        <v>215</v>
      </c>
      <c r="N126" s="42"/>
      <c r="P126" s="47">
        <v>307030</v>
      </c>
      <c r="R126" s="47" t="s">
        <v>699</v>
      </c>
    </row>
    <row r="127" spans="1:18">
      <c r="A127" s="2">
        <v>1</v>
      </c>
      <c r="B127" s="2">
        <v>126</v>
      </c>
      <c r="C127" s="38" t="s">
        <v>114</v>
      </c>
      <c r="D127" s="4"/>
      <c r="E127" s="43" t="s">
        <v>698</v>
      </c>
      <c r="F127" s="2">
        <v>20250731</v>
      </c>
      <c r="G127" s="2">
        <v>20250731</v>
      </c>
      <c r="H127" s="2">
        <v>20250731</v>
      </c>
      <c r="I127" s="40" t="s">
        <v>905</v>
      </c>
      <c r="M127" s="40" t="s">
        <v>248</v>
      </c>
      <c r="N127" s="42"/>
      <c r="P127" s="47">
        <v>307030</v>
      </c>
      <c r="R127" s="47" t="s">
        <v>699</v>
      </c>
    </row>
    <row r="128" spans="1:18">
      <c r="A128" s="2">
        <v>1</v>
      </c>
      <c r="B128" s="2">
        <v>127</v>
      </c>
      <c r="C128" s="38" t="s">
        <v>114</v>
      </c>
      <c r="D128" s="4"/>
      <c r="E128" s="43" t="s">
        <v>698</v>
      </c>
      <c r="F128" s="2">
        <v>20250731</v>
      </c>
      <c r="G128" s="2">
        <v>20250731</v>
      </c>
      <c r="H128" s="2">
        <v>20250731</v>
      </c>
      <c r="I128" s="40" t="s">
        <v>1144</v>
      </c>
      <c r="M128" s="40" t="s">
        <v>175</v>
      </c>
      <c r="N128" s="42"/>
      <c r="P128" s="47">
        <v>307030</v>
      </c>
      <c r="R128" s="47" t="s">
        <v>699</v>
      </c>
    </row>
    <row r="129" spans="1:18">
      <c r="A129" s="2">
        <v>1</v>
      </c>
      <c r="B129" s="2">
        <v>128</v>
      </c>
      <c r="C129" s="38" t="s">
        <v>114</v>
      </c>
      <c r="D129" s="4"/>
      <c r="E129" s="43" t="s">
        <v>698</v>
      </c>
      <c r="F129" s="2">
        <v>20250731</v>
      </c>
      <c r="G129" s="2">
        <v>20250731</v>
      </c>
      <c r="H129" s="2">
        <v>20250731</v>
      </c>
      <c r="I129" s="40" t="s">
        <v>910</v>
      </c>
      <c r="M129" s="40" t="s">
        <v>175</v>
      </c>
      <c r="N129" s="42"/>
      <c r="P129" s="47">
        <v>307030</v>
      </c>
      <c r="R129" s="47" t="s">
        <v>699</v>
      </c>
    </row>
    <row r="130" spans="1:18">
      <c r="A130" s="2">
        <v>1</v>
      </c>
      <c r="B130" s="2">
        <v>129</v>
      </c>
      <c r="C130" s="38" t="s">
        <v>114</v>
      </c>
      <c r="D130" s="4"/>
      <c r="E130" s="43" t="s">
        <v>698</v>
      </c>
      <c r="F130" s="2">
        <v>20250731</v>
      </c>
      <c r="G130" s="2">
        <v>20250731</v>
      </c>
      <c r="H130" s="2">
        <v>20250731</v>
      </c>
      <c r="I130" s="40" t="s">
        <v>1145</v>
      </c>
      <c r="M130" s="40" t="s">
        <v>163</v>
      </c>
      <c r="N130" s="42"/>
      <c r="P130" s="47">
        <v>307030</v>
      </c>
      <c r="R130" s="47" t="s">
        <v>699</v>
      </c>
    </row>
    <row r="131" spans="1:18">
      <c r="A131" s="2">
        <v>1</v>
      </c>
      <c r="B131" s="2">
        <v>130</v>
      </c>
      <c r="C131" s="38" t="s">
        <v>114</v>
      </c>
      <c r="D131" s="4"/>
      <c r="E131" s="43" t="s">
        <v>698</v>
      </c>
      <c r="F131" s="2">
        <v>20250731</v>
      </c>
      <c r="G131" s="2">
        <v>20250731</v>
      </c>
      <c r="H131" s="2">
        <v>20250731</v>
      </c>
      <c r="I131" s="40" t="s">
        <v>917</v>
      </c>
      <c r="M131" s="40" t="s">
        <v>249</v>
      </c>
      <c r="N131" s="42"/>
      <c r="P131" s="47">
        <v>307030</v>
      </c>
      <c r="R131" s="47" t="s">
        <v>699</v>
      </c>
    </row>
    <row r="132" spans="1:18">
      <c r="A132" s="2">
        <v>1</v>
      </c>
      <c r="B132" s="2">
        <v>131</v>
      </c>
      <c r="C132" s="38" t="s">
        <v>114</v>
      </c>
      <c r="D132" s="4"/>
      <c r="E132" s="43" t="s">
        <v>698</v>
      </c>
      <c r="F132" s="2">
        <v>20250731</v>
      </c>
      <c r="G132" s="2">
        <v>20250731</v>
      </c>
      <c r="H132" s="2">
        <v>20250731</v>
      </c>
      <c r="I132" s="40" t="s">
        <v>925</v>
      </c>
      <c r="M132" s="40" t="s">
        <v>250</v>
      </c>
      <c r="N132" s="42"/>
      <c r="P132" s="47">
        <v>307030</v>
      </c>
      <c r="R132" s="47" t="s">
        <v>699</v>
      </c>
    </row>
    <row r="133" spans="1:18">
      <c r="A133" s="2">
        <v>1</v>
      </c>
      <c r="B133" s="2">
        <v>132</v>
      </c>
      <c r="C133" s="38" t="s">
        <v>114</v>
      </c>
      <c r="D133" s="4"/>
      <c r="E133" s="43" t="s">
        <v>698</v>
      </c>
      <c r="F133" s="2">
        <v>20250731</v>
      </c>
      <c r="G133" s="2">
        <v>20250731</v>
      </c>
      <c r="H133" s="2">
        <v>20250731</v>
      </c>
      <c r="I133" s="40" t="s">
        <v>926</v>
      </c>
      <c r="M133" s="40" t="s">
        <v>171</v>
      </c>
      <c r="N133" s="42"/>
      <c r="P133" s="47">
        <v>307030</v>
      </c>
      <c r="R133" s="47" t="s">
        <v>699</v>
      </c>
    </row>
    <row r="134" spans="1:18">
      <c r="A134" s="2">
        <v>1</v>
      </c>
      <c r="B134" s="2">
        <v>133</v>
      </c>
      <c r="C134" s="38" t="s">
        <v>114</v>
      </c>
      <c r="D134" s="4"/>
      <c r="E134" s="43" t="s">
        <v>698</v>
      </c>
      <c r="F134" s="2">
        <v>20250731</v>
      </c>
      <c r="G134" s="2">
        <v>20250731</v>
      </c>
      <c r="H134" s="2">
        <v>20250731</v>
      </c>
      <c r="I134" s="40" t="s">
        <v>927</v>
      </c>
      <c r="M134" s="40" t="s">
        <v>133</v>
      </c>
      <c r="N134" s="42"/>
      <c r="P134" s="47">
        <v>307030</v>
      </c>
      <c r="R134" s="47" t="s">
        <v>699</v>
      </c>
    </row>
    <row r="135" spans="1:18">
      <c r="A135" s="2">
        <v>1</v>
      </c>
      <c r="B135" s="2">
        <v>134</v>
      </c>
      <c r="C135" s="38" t="s">
        <v>114</v>
      </c>
      <c r="D135" s="4"/>
      <c r="E135" s="43" t="s">
        <v>698</v>
      </c>
      <c r="F135" s="2">
        <v>20250731</v>
      </c>
      <c r="G135" s="2">
        <v>20250731</v>
      </c>
      <c r="H135" s="2">
        <v>20250731</v>
      </c>
      <c r="I135" s="40" t="s">
        <v>929</v>
      </c>
      <c r="M135" s="40" t="s">
        <v>251</v>
      </c>
      <c r="N135" s="42"/>
      <c r="P135" s="47">
        <v>307030</v>
      </c>
      <c r="R135" s="47" t="s">
        <v>699</v>
      </c>
    </row>
    <row r="136" spans="1:18">
      <c r="A136" s="2">
        <v>1</v>
      </c>
      <c r="B136" s="2">
        <v>135</v>
      </c>
      <c r="C136" s="38" t="s">
        <v>114</v>
      </c>
      <c r="D136" s="4"/>
      <c r="E136" s="43" t="s">
        <v>698</v>
      </c>
      <c r="F136" s="2">
        <v>20250731</v>
      </c>
      <c r="G136" s="2">
        <v>20250731</v>
      </c>
      <c r="H136" s="2">
        <v>20250731</v>
      </c>
      <c r="I136" s="40" t="s">
        <v>933</v>
      </c>
      <c r="M136" s="40" t="s">
        <v>252</v>
      </c>
      <c r="N136" s="42"/>
      <c r="P136" s="47">
        <v>307030</v>
      </c>
      <c r="R136" s="47" t="s">
        <v>699</v>
      </c>
    </row>
    <row r="137" spans="1:18">
      <c r="A137" s="2">
        <v>1</v>
      </c>
      <c r="B137" s="2">
        <v>136</v>
      </c>
      <c r="C137" s="38" t="s">
        <v>114</v>
      </c>
      <c r="D137" s="4"/>
      <c r="E137" s="43" t="s">
        <v>698</v>
      </c>
      <c r="F137" s="2">
        <v>20250731</v>
      </c>
      <c r="G137" s="2">
        <v>20250731</v>
      </c>
      <c r="H137" s="2">
        <v>20250731</v>
      </c>
      <c r="I137" s="40" t="s">
        <v>1147</v>
      </c>
      <c r="M137" s="40" t="s">
        <v>163</v>
      </c>
      <c r="N137" s="42"/>
      <c r="P137" s="47">
        <v>307030</v>
      </c>
      <c r="R137" s="47" t="s">
        <v>699</v>
      </c>
    </row>
    <row r="138" spans="1:18">
      <c r="A138" s="2">
        <v>1</v>
      </c>
      <c r="B138" s="2">
        <v>137</v>
      </c>
      <c r="C138" s="38" t="s">
        <v>114</v>
      </c>
      <c r="D138" s="4"/>
      <c r="E138" s="43" t="s">
        <v>698</v>
      </c>
      <c r="F138" s="2">
        <v>20250731</v>
      </c>
      <c r="G138" s="2">
        <v>20250731</v>
      </c>
      <c r="H138" s="2">
        <v>20250731</v>
      </c>
      <c r="I138" s="40" t="s">
        <v>937</v>
      </c>
      <c r="M138" s="40" t="s">
        <v>253</v>
      </c>
      <c r="N138" s="42"/>
      <c r="P138" s="47">
        <v>307030</v>
      </c>
      <c r="R138" s="47" t="s">
        <v>699</v>
      </c>
    </row>
    <row r="139" spans="1:18">
      <c r="A139" s="2">
        <v>1</v>
      </c>
      <c r="B139" s="2">
        <v>138</v>
      </c>
      <c r="C139" s="38" t="s">
        <v>114</v>
      </c>
      <c r="D139" s="4"/>
      <c r="E139" s="43" t="s">
        <v>698</v>
      </c>
      <c r="F139" s="2">
        <v>20250731</v>
      </c>
      <c r="G139" s="2">
        <v>20250731</v>
      </c>
      <c r="H139" s="2">
        <v>20250731</v>
      </c>
      <c r="I139" s="40" t="s">
        <v>944</v>
      </c>
      <c r="M139" s="40" t="s">
        <v>249</v>
      </c>
      <c r="N139" s="42"/>
      <c r="P139" s="47">
        <v>307030</v>
      </c>
      <c r="R139" s="47" t="s">
        <v>699</v>
      </c>
    </row>
    <row r="140" spans="1:18">
      <c r="A140" s="2">
        <v>1</v>
      </c>
      <c r="B140" s="2">
        <v>139</v>
      </c>
      <c r="C140" s="38" t="s">
        <v>114</v>
      </c>
      <c r="D140" s="4"/>
      <c r="E140" s="43" t="s">
        <v>698</v>
      </c>
      <c r="F140" s="2">
        <v>20250731</v>
      </c>
      <c r="G140" s="2">
        <v>20250731</v>
      </c>
      <c r="H140" s="2">
        <v>20250731</v>
      </c>
      <c r="I140" s="40" t="s">
        <v>947</v>
      </c>
      <c r="M140" s="40" t="s">
        <v>196</v>
      </c>
      <c r="N140" s="42"/>
      <c r="P140" s="47">
        <v>307030</v>
      </c>
      <c r="R140" s="47" t="s">
        <v>699</v>
      </c>
    </row>
    <row r="141" spans="1:18">
      <c r="A141" s="2">
        <v>1</v>
      </c>
      <c r="B141" s="2">
        <v>140</v>
      </c>
      <c r="C141" s="38" t="s">
        <v>114</v>
      </c>
      <c r="D141" s="4"/>
      <c r="E141" s="43" t="s">
        <v>698</v>
      </c>
      <c r="F141" s="2">
        <v>20250731</v>
      </c>
      <c r="G141" s="2">
        <v>20250731</v>
      </c>
      <c r="H141" s="2">
        <v>20250731</v>
      </c>
      <c r="I141" s="40" t="s">
        <v>950</v>
      </c>
      <c r="M141" s="40" t="s">
        <v>254</v>
      </c>
      <c r="N141" s="42"/>
      <c r="P141" s="47">
        <v>307030</v>
      </c>
      <c r="R141" s="47" t="s">
        <v>699</v>
      </c>
    </row>
    <row r="142" spans="1:18">
      <c r="A142" s="2">
        <v>1</v>
      </c>
      <c r="B142" s="2">
        <v>141</v>
      </c>
      <c r="C142" s="38" t="s">
        <v>114</v>
      </c>
      <c r="D142" s="4"/>
      <c r="E142" s="43" t="s">
        <v>698</v>
      </c>
      <c r="F142" s="2">
        <v>20250731</v>
      </c>
      <c r="G142" s="2">
        <v>20250731</v>
      </c>
      <c r="H142" s="2">
        <v>20250731</v>
      </c>
      <c r="I142" s="40" t="s">
        <v>963</v>
      </c>
      <c r="M142" s="40" t="s">
        <v>227</v>
      </c>
      <c r="N142" s="42"/>
      <c r="P142" s="47">
        <v>307030</v>
      </c>
      <c r="R142" s="47" t="s">
        <v>699</v>
      </c>
    </row>
    <row r="143" spans="1:18">
      <c r="A143" s="2">
        <v>1</v>
      </c>
      <c r="B143" s="2">
        <v>142</v>
      </c>
      <c r="C143" s="38" t="s">
        <v>114</v>
      </c>
      <c r="D143" s="4"/>
      <c r="E143" s="43" t="s">
        <v>698</v>
      </c>
      <c r="F143" s="2">
        <v>20250731</v>
      </c>
      <c r="G143" s="2">
        <v>20250731</v>
      </c>
      <c r="H143" s="2">
        <v>20250731</v>
      </c>
      <c r="I143" s="40" t="s">
        <v>966</v>
      </c>
      <c r="M143" s="40" t="s">
        <v>242</v>
      </c>
      <c r="N143" s="42"/>
      <c r="P143" s="47">
        <v>307030</v>
      </c>
      <c r="R143" s="47" t="s">
        <v>699</v>
      </c>
    </row>
    <row r="144" spans="1:18">
      <c r="A144" s="2">
        <v>1</v>
      </c>
      <c r="B144" s="2">
        <v>143</v>
      </c>
      <c r="C144" s="38" t="s">
        <v>114</v>
      </c>
      <c r="D144" s="4"/>
      <c r="E144" s="43" t="s">
        <v>698</v>
      </c>
      <c r="F144" s="2">
        <v>20250731</v>
      </c>
      <c r="G144" s="2">
        <v>20250731</v>
      </c>
      <c r="H144" s="2">
        <v>20250731</v>
      </c>
      <c r="I144" s="40" t="s">
        <v>968</v>
      </c>
      <c r="M144" s="40" t="s">
        <v>255</v>
      </c>
      <c r="N144" s="42"/>
      <c r="P144" s="47">
        <v>307030</v>
      </c>
      <c r="R144" s="47" t="s">
        <v>699</v>
      </c>
    </row>
    <row r="145" spans="1:18">
      <c r="A145" s="2">
        <v>1</v>
      </c>
      <c r="B145" s="2">
        <v>144</v>
      </c>
      <c r="C145" s="38" t="s">
        <v>114</v>
      </c>
      <c r="D145" s="4"/>
      <c r="E145" s="43" t="s">
        <v>698</v>
      </c>
      <c r="F145" s="2">
        <v>20250731</v>
      </c>
      <c r="G145" s="2">
        <v>20250731</v>
      </c>
      <c r="H145" s="2">
        <v>20250731</v>
      </c>
      <c r="I145" s="40" t="s">
        <v>976</v>
      </c>
      <c r="M145" s="40" t="s">
        <v>256</v>
      </c>
      <c r="N145" s="42"/>
      <c r="P145" s="47">
        <v>307030</v>
      </c>
      <c r="R145" s="47" t="s">
        <v>699</v>
      </c>
    </row>
    <row r="146" spans="1:18">
      <c r="A146" s="2">
        <v>1</v>
      </c>
      <c r="B146" s="2">
        <v>145</v>
      </c>
      <c r="C146" s="38" t="s">
        <v>114</v>
      </c>
      <c r="D146" s="4"/>
      <c r="E146" s="43" t="s">
        <v>698</v>
      </c>
      <c r="F146" s="2">
        <v>20250731</v>
      </c>
      <c r="G146" s="2">
        <v>20250731</v>
      </c>
      <c r="H146" s="2">
        <v>20250731</v>
      </c>
      <c r="I146" s="40" t="s">
        <v>977</v>
      </c>
      <c r="M146" s="40" t="s">
        <v>257</v>
      </c>
      <c r="N146" s="42"/>
      <c r="P146" s="47">
        <v>307030</v>
      </c>
      <c r="R146" s="47" t="s">
        <v>699</v>
      </c>
    </row>
    <row r="147" spans="1:18">
      <c r="A147" s="2">
        <v>1</v>
      </c>
      <c r="B147" s="2">
        <v>146</v>
      </c>
      <c r="C147" s="38" t="s">
        <v>114</v>
      </c>
      <c r="D147" s="4"/>
      <c r="E147" s="43" t="s">
        <v>698</v>
      </c>
      <c r="F147" s="2">
        <v>20250731</v>
      </c>
      <c r="G147" s="2">
        <v>20250731</v>
      </c>
      <c r="H147" s="2">
        <v>20250731</v>
      </c>
      <c r="I147" s="40" t="s">
        <v>983</v>
      </c>
      <c r="M147" s="40" t="s">
        <v>258</v>
      </c>
      <c r="N147" s="42"/>
      <c r="P147" s="47">
        <v>307030</v>
      </c>
      <c r="R147" s="47" t="s">
        <v>699</v>
      </c>
    </row>
    <row r="148" spans="1:18">
      <c r="A148" s="2">
        <v>1</v>
      </c>
      <c r="B148" s="2">
        <v>147</v>
      </c>
      <c r="C148" s="38" t="s">
        <v>114</v>
      </c>
      <c r="D148" s="4"/>
      <c r="E148" s="43" t="s">
        <v>698</v>
      </c>
      <c r="F148" s="2">
        <v>20250731</v>
      </c>
      <c r="G148" s="2">
        <v>20250731</v>
      </c>
      <c r="H148" s="2">
        <v>20250731</v>
      </c>
      <c r="I148" s="40" t="s">
        <v>985</v>
      </c>
      <c r="M148" s="40" t="s">
        <v>259</v>
      </c>
      <c r="N148" s="42"/>
      <c r="P148" s="47">
        <v>307030</v>
      </c>
      <c r="R148" s="47" t="s">
        <v>699</v>
      </c>
    </row>
    <row r="149" spans="1:18">
      <c r="A149" s="2">
        <v>1</v>
      </c>
      <c r="B149" s="2">
        <v>148</v>
      </c>
      <c r="C149" s="38" t="s">
        <v>114</v>
      </c>
      <c r="D149" s="4"/>
      <c r="E149" s="43" t="s">
        <v>698</v>
      </c>
      <c r="F149" s="2">
        <v>20250731</v>
      </c>
      <c r="G149" s="2">
        <v>20250731</v>
      </c>
      <c r="H149" s="2">
        <v>20250731</v>
      </c>
      <c r="I149" s="40" t="s">
        <v>995</v>
      </c>
      <c r="M149" s="40" t="s">
        <v>214</v>
      </c>
      <c r="N149" s="42"/>
      <c r="P149" s="47">
        <v>307030</v>
      </c>
      <c r="R149" s="47" t="s">
        <v>699</v>
      </c>
    </row>
    <row r="150" spans="1:18">
      <c r="A150" s="2">
        <v>1</v>
      </c>
      <c r="B150" s="2">
        <v>149</v>
      </c>
      <c r="C150" s="38" t="s">
        <v>114</v>
      </c>
      <c r="D150" s="4"/>
      <c r="E150" s="43" t="s">
        <v>698</v>
      </c>
      <c r="F150" s="2">
        <v>20250731</v>
      </c>
      <c r="G150" s="2">
        <v>20250731</v>
      </c>
      <c r="H150" s="2">
        <v>20250731</v>
      </c>
      <c r="I150" s="40" t="s">
        <v>998</v>
      </c>
      <c r="M150" s="40" t="s">
        <v>155</v>
      </c>
      <c r="N150" s="42"/>
      <c r="P150" s="47">
        <v>307030</v>
      </c>
      <c r="R150" s="47" t="s">
        <v>699</v>
      </c>
    </row>
    <row r="151" spans="1:18">
      <c r="A151" s="2">
        <v>1</v>
      </c>
      <c r="B151" s="2">
        <v>150</v>
      </c>
      <c r="C151" s="38" t="s">
        <v>114</v>
      </c>
      <c r="D151" s="4"/>
      <c r="E151" s="43" t="s">
        <v>698</v>
      </c>
      <c r="F151" s="2">
        <v>20250731</v>
      </c>
      <c r="G151" s="2">
        <v>20250731</v>
      </c>
      <c r="H151" s="2">
        <v>20250731</v>
      </c>
      <c r="I151" s="40" t="s">
        <v>999</v>
      </c>
      <c r="M151" s="40" t="s">
        <v>260</v>
      </c>
      <c r="N151" s="42"/>
      <c r="P151" s="47">
        <v>307030</v>
      </c>
      <c r="R151" s="47" t="s">
        <v>699</v>
      </c>
    </row>
    <row r="152" spans="1:18">
      <c r="A152" s="2">
        <v>1</v>
      </c>
      <c r="B152" s="2">
        <v>151</v>
      </c>
      <c r="C152" s="38" t="s">
        <v>114</v>
      </c>
      <c r="D152" s="4"/>
      <c r="E152" s="43" t="s">
        <v>698</v>
      </c>
      <c r="F152" s="2">
        <v>20250731</v>
      </c>
      <c r="G152" s="2">
        <v>20250731</v>
      </c>
      <c r="H152" s="2">
        <v>20250731</v>
      </c>
      <c r="I152" s="40" t="s">
        <v>1011</v>
      </c>
      <c r="M152" s="40" t="s">
        <v>261</v>
      </c>
      <c r="N152" s="42"/>
      <c r="P152" s="47">
        <v>307030</v>
      </c>
      <c r="R152" s="47" t="s">
        <v>699</v>
      </c>
    </row>
    <row r="153" spans="1:18">
      <c r="A153" s="2">
        <v>1</v>
      </c>
      <c r="B153" s="2">
        <v>152</v>
      </c>
      <c r="C153" s="38" t="s">
        <v>114</v>
      </c>
      <c r="D153" s="4"/>
      <c r="E153" s="43" t="s">
        <v>698</v>
      </c>
      <c r="F153" s="2">
        <v>20250731</v>
      </c>
      <c r="G153" s="2">
        <v>20250731</v>
      </c>
      <c r="H153" s="2">
        <v>20250731</v>
      </c>
      <c r="I153" s="40" t="s">
        <v>1016</v>
      </c>
      <c r="M153" s="40" t="s">
        <v>262</v>
      </c>
      <c r="N153" s="42"/>
      <c r="P153" s="47">
        <v>307030</v>
      </c>
      <c r="R153" s="47" t="s">
        <v>699</v>
      </c>
    </row>
    <row r="154" spans="1:18">
      <c r="A154" s="2">
        <v>1</v>
      </c>
      <c r="B154" s="2">
        <v>153</v>
      </c>
      <c r="C154" s="38" t="s">
        <v>114</v>
      </c>
      <c r="D154" s="4"/>
      <c r="E154" s="43" t="s">
        <v>698</v>
      </c>
      <c r="F154" s="2">
        <v>20250731</v>
      </c>
      <c r="G154" s="2">
        <v>20250731</v>
      </c>
      <c r="H154" s="2">
        <v>20250731</v>
      </c>
      <c r="I154" s="40" t="s">
        <v>1028</v>
      </c>
      <c r="M154" s="40" t="s">
        <v>263</v>
      </c>
      <c r="N154" s="42"/>
      <c r="P154" s="47">
        <v>307030</v>
      </c>
      <c r="R154" s="47" t="s">
        <v>699</v>
      </c>
    </row>
    <row r="155" spans="1:18">
      <c r="A155" s="2">
        <v>1</v>
      </c>
      <c r="B155" s="2">
        <v>154</v>
      </c>
      <c r="C155" s="38" t="s">
        <v>114</v>
      </c>
      <c r="D155" s="4"/>
      <c r="E155" s="43" t="s">
        <v>698</v>
      </c>
      <c r="F155" s="2">
        <v>20250731</v>
      </c>
      <c r="G155" s="2">
        <v>20250731</v>
      </c>
      <c r="H155" s="2">
        <v>20250731</v>
      </c>
      <c r="I155" s="40" t="s">
        <v>1029</v>
      </c>
      <c r="M155" s="40" t="s">
        <v>264</v>
      </c>
      <c r="N155" s="42"/>
      <c r="P155" s="47">
        <v>307030</v>
      </c>
      <c r="R155" s="47" t="s">
        <v>699</v>
      </c>
    </row>
    <row r="156" spans="1:18">
      <c r="A156" s="2">
        <v>1</v>
      </c>
      <c r="B156" s="2">
        <v>155</v>
      </c>
      <c r="C156" s="38" t="s">
        <v>114</v>
      </c>
      <c r="D156" s="4"/>
      <c r="E156" s="43" t="s">
        <v>698</v>
      </c>
      <c r="F156" s="2">
        <v>20250731</v>
      </c>
      <c r="G156" s="2">
        <v>20250731</v>
      </c>
      <c r="H156" s="2">
        <v>20250731</v>
      </c>
      <c r="I156" s="40" t="s">
        <v>1032</v>
      </c>
      <c r="M156" s="40" t="s">
        <v>265</v>
      </c>
      <c r="N156" s="42"/>
      <c r="P156" s="47">
        <v>307030</v>
      </c>
      <c r="R156" s="47" t="s">
        <v>699</v>
      </c>
    </row>
    <row r="157" spans="1:18">
      <c r="A157" s="2">
        <v>1</v>
      </c>
      <c r="B157" s="2">
        <v>156</v>
      </c>
      <c r="C157" s="38" t="s">
        <v>114</v>
      </c>
      <c r="D157" s="4"/>
      <c r="E157" s="43" t="s">
        <v>698</v>
      </c>
      <c r="F157" s="2">
        <v>20250731</v>
      </c>
      <c r="G157" s="2">
        <v>20250731</v>
      </c>
      <c r="H157" s="2">
        <v>20250731</v>
      </c>
      <c r="I157" s="40" t="s">
        <v>1038</v>
      </c>
      <c r="M157" s="40" t="s">
        <v>266</v>
      </c>
      <c r="N157" s="42"/>
      <c r="P157" s="47">
        <v>307030</v>
      </c>
      <c r="R157" s="47" t="s">
        <v>699</v>
      </c>
    </row>
    <row r="158" spans="1:18">
      <c r="A158" s="2">
        <v>1</v>
      </c>
      <c r="B158" s="2">
        <v>157</v>
      </c>
      <c r="C158" s="38" t="s">
        <v>114</v>
      </c>
      <c r="D158" s="4"/>
      <c r="E158" s="43" t="s">
        <v>698</v>
      </c>
      <c r="F158" s="2">
        <v>20250731</v>
      </c>
      <c r="G158" s="2">
        <v>20250731</v>
      </c>
      <c r="H158" s="2">
        <v>20250731</v>
      </c>
      <c r="I158" s="40" t="s">
        <v>1043</v>
      </c>
      <c r="M158" s="40" t="s">
        <v>267</v>
      </c>
      <c r="N158" s="42"/>
      <c r="P158" s="47">
        <v>307030</v>
      </c>
      <c r="R158" s="47" t="s">
        <v>699</v>
      </c>
    </row>
    <row r="159" spans="1:18">
      <c r="A159" s="2">
        <v>1</v>
      </c>
      <c r="B159" s="2">
        <v>158</v>
      </c>
      <c r="C159" s="38" t="s">
        <v>114</v>
      </c>
      <c r="D159" s="4"/>
      <c r="E159" s="43" t="s">
        <v>698</v>
      </c>
      <c r="F159" s="2">
        <v>20250731</v>
      </c>
      <c r="G159" s="2">
        <v>20250731</v>
      </c>
      <c r="H159" s="2">
        <v>20250731</v>
      </c>
      <c r="I159" s="40" t="s">
        <v>1049</v>
      </c>
      <c r="M159" s="40" t="s">
        <v>267</v>
      </c>
      <c r="N159" s="42"/>
      <c r="P159" s="47">
        <v>307030</v>
      </c>
      <c r="R159" s="47" t="s">
        <v>699</v>
      </c>
    </row>
    <row r="160" spans="1:18">
      <c r="A160" s="2">
        <v>1</v>
      </c>
      <c r="B160" s="2">
        <v>159</v>
      </c>
      <c r="C160" s="38" t="s">
        <v>114</v>
      </c>
      <c r="D160" s="4"/>
      <c r="E160" s="43" t="s">
        <v>698</v>
      </c>
      <c r="F160" s="2">
        <v>20250731</v>
      </c>
      <c r="G160" s="2">
        <v>20250731</v>
      </c>
      <c r="H160" s="2">
        <v>20250731</v>
      </c>
      <c r="I160" s="40" t="s">
        <v>1063</v>
      </c>
      <c r="M160" s="40" t="s">
        <v>216</v>
      </c>
      <c r="N160" s="42"/>
      <c r="P160" s="47">
        <v>307030</v>
      </c>
      <c r="R160" s="47" t="s">
        <v>699</v>
      </c>
    </row>
    <row r="161" spans="1:18">
      <c r="A161" s="2">
        <v>1</v>
      </c>
      <c r="B161" s="2">
        <v>160</v>
      </c>
      <c r="C161" s="38" t="s">
        <v>114</v>
      </c>
      <c r="D161" s="4"/>
      <c r="E161" s="43" t="s">
        <v>698</v>
      </c>
      <c r="F161" s="2">
        <v>20250731</v>
      </c>
      <c r="G161" s="2">
        <v>20250731</v>
      </c>
      <c r="H161" s="2">
        <v>20250731</v>
      </c>
      <c r="I161" s="40" t="s">
        <v>1076</v>
      </c>
      <c r="M161" s="40" t="s">
        <v>268</v>
      </c>
      <c r="N161" s="42"/>
      <c r="P161" s="47">
        <v>307030</v>
      </c>
      <c r="R161" s="47" t="s">
        <v>699</v>
      </c>
    </row>
    <row r="162" spans="1:18">
      <c r="A162" s="2">
        <v>1</v>
      </c>
      <c r="B162" s="2">
        <v>161</v>
      </c>
      <c r="C162" s="38" t="s">
        <v>114</v>
      </c>
      <c r="D162" s="4"/>
      <c r="E162" s="43" t="s">
        <v>698</v>
      </c>
      <c r="F162" s="2">
        <v>20250731</v>
      </c>
      <c r="G162" s="2">
        <v>20250731</v>
      </c>
      <c r="H162" s="2">
        <v>20250731</v>
      </c>
      <c r="I162" s="40" t="s">
        <v>1081</v>
      </c>
      <c r="M162" s="40" t="s">
        <v>269</v>
      </c>
      <c r="N162" s="42"/>
      <c r="P162" s="47">
        <v>307030</v>
      </c>
      <c r="R162" s="47" t="s">
        <v>699</v>
      </c>
    </row>
    <row r="163" spans="1:18">
      <c r="A163" s="2">
        <v>1</v>
      </c>
      <c r="B163" s="2">
        <v>162</v>
      </c>
      <c r="C163" s="38" t="s">
        <v>114</v>
      </c>
      <c r="D163" s="4"/>
      <c r="E163" s="43" t="s">
        <v>698</v>
      </c>
      <c r="F163" s="2">
        <v>20250731</v>
      </c>
      <c r="G163" s="2">
        <v>20250731</v>
      </c>
      <c r="H163" s="2">
        <v>20250731</v>
      </c>
      <c r="I163" s="40" t="s">
        <v>1087</v>
      </c>
      <c r="M163" s="40" t="s">
        <v>249</v>
      </c>
      <c r="N163" s="42"/>
      <c r="P163" s="47">
        <v>307030</v>
      </c>
      <c r="R163" s="47" t="s">
        <v>699</v>
      </c>
    </row>
    <row r="164" spans="1:18">
      <c r="A164" s="2">
        <v>1</v>
      </c>
      <c r="B164" s="2">
        <v>163</v>
      </c>
      <c r="C164" s="38" t="s">
        <v>114</v>
      </c>
      <c r="D164" s="4"/>
      <c r="E164" s="43" t="s">
        <v>698</v>
      </c>
      <c r="F164" s="2">
        <v>20250731</v>
      </c>
      <c r="G164" s="2">
        <v>20250731</v>
      </c>
      <c r="H164" s="2">
        <v>20250731</v>
      </c>
      <c r="I164" s="40" t="s">
        <v>1104</v>
      </c>
      <c r="M164" s="40" t="s">
        <v>270</v>
      </c>
      <c r="N164" s="42"/>
      <c r="P164" s="47">
        <v>307030</v>
      </c>
      <c r="R164" s="47" t="s">
        <v>699</v>
      </c>
    </row>
    <row r="165" spans="1:18">
      <c r="A165" s="2">
        <v>1</v>
      </c>
      <c r="B165" s="2">
        <v>164</v>
      </c>
      <c r="C165" s="38" t="s">
        <v>115</v>
      </c>
      <c r="D165" s="4"/>
      <c r="E165" s="43" t="s">
        <v>698</v>
      </c>
      <c r="F165" s="2">
        <v>20250731</v>
      </c>
      <c r="G165" s="2">
        <v>20250731</v>
      </c>
      <c r="H165" s="2">
        <v>20250731</v>
      </c>
      <c r="I165" s="40" t="s">
        <v>1126</v>
      </c>
      <c r="M165" s="40" t="s">
        <v>271</v>
      </c>
      <c r="N165" s="42"/>
      <c r="P165" s="47">
        <v>307030</v>
      </c>
      <c r="R165" s="47" t="s">
        <v>699</v>
      </c>
    </row>
    <row r="166" spans="1:18">
      <c r="A166" s="2">
        <v>1</v>
      </c>
      <c r="B166" s="2">
        <v>165</v>
      </c>
      <c r="C166" s="38" t="s">
        <v>115</v>
      </c>
      <c r="D166" s="4"/>
      <c r="E166" s="43" t="s">
        <v>698</v>
      </c>
      <c r="F166" s="2">
        <v>20250731</v>
      </c>
      <c r="G166" s="2">
        <v>20250731</v>
      </c>
      <c r="H166" s="2">
        <v>20250731</v>
      </c>
      <c r="I166" s="40" t="s">
        <v>753</v>
      </c>
      <c r="M166" s="40" t="s">
        <v>272</v>
      </c>
      <c r="N166" s="42"/>
      <c r="P166" s="47">
        <v>307030</v>
      </c>
      <c r="R166" s="47" t="s">
        <v>699</v>
      </c>
    </row>
    <row r="167" spans="1:18" ht="14.4">
      <c r="A167" s="2">
        <v>1</v>
      </c>
      <c r="B167" s="2">
        <v>166</v>
      </c>
      <c r="C167" s="38">
        <v>95211101</v>
      </c>
      <c r="D167" s="4"/>
      <c r="E167" s="43" t="s">
        <v>698</v>
      </c>
      <c r="F167" s="2">
        <v>20250731</v>
      </c>
      <c r="G167" s="2">
        <v>20250731</v>
      </c>
      <c r="H167" s="2">
        <v>20250731</v>
      </c>
      <c r="I167" s="44"/>
      <c r="M167" s="39"/>
      <c r="N167" s="41" t="s">
        <v>689</v>
      </c>
      <c r="P167" s="47">
        <v>307030</v>
      </c>
      <c r="R167" s="47" t="s">
        <v>699</v>
      </c>
    </row>
    <row r="168" spans="1:18">
      <c r="A168" s="2">
        <v>1</v>
      </c>
      <c r="B168" s="2">
        <v>167</v>
      </c>
      <c r="C168" s="38">
        <v>95211101</v>
      </c>
      <c r="D168" s="4"/>
      <c r="E168" s="43" t="s">
        <v>698</v>
      </c>
      <c r="F168" s="2">
        <v>20250731</v>
      </c>
      <c r="G168" s="2">
        <v>20250731</v>
      </c>
      <c r="H168" s="2">
        <v>20250731</v>
      </c>
      <c r="I168" s="44"/>
      <c r="M168" s="40" t="s">
        <v>273</v>
      </c>
      <c r="N168" s="42"/>
      <c r="P168" s="47">
        <v>307030</v>
      </c>
      <c r="R168" s="47" t="s">
        <v>699</v>
      </c>
    </row>
    <row r="169" spans="1:18">
      <c r="A169" s="2">
        <v>1</v>
      </c>
      <c r="B169" s="2">
        <v>168</v>
      </c>
      <c r="C169" s="38">
        <v>95211101</v>
      </c>
      <c r="D169" s="4"/>
      <c r="E169" s="43" t="s">
        <v>698</v>
      </c>
      <c r="F169" s="2">
        <v>20250731</v>
      </c>
      <c r="G169" s="2">
        <v>20250731</v>
      </c>
      <c r="H169" s="2">
        <v>20250731</v>
      </c>
      <c r="I169" s="44"/>
      <c r="M169" s="40" t="s">
        <v>274</v>
      </c>
      <c r="N169" s="42"/>
      <c r="P169" s="47">
        <v>307030</v>
      </c>
      <c r="R169" s="47" t="s">
        <v>699</v>
      </c>
    </row>
    <row r="170" spans="1:18">
      <c r="A170" s="2">
        <v>1</v>
      </c>
      <c r="B170" s="2">
        <v>169</v>
      </c>
      <c r="C170" s="38">
        <v>95211101</v>
      </c>
      <c r="D170" s="4"/>
      <c r="E170" s="43" t="s">
        <v>698</v>
      </c>
      <c r="F170" s="2">
        <v>20250731</v>
      </c>
      <c r="G170" s="2">
        <v>20250731</v>
      </c>
      <c r="H170" s="2">
        <v>20250731</v>
      </c>
      <c r="I170" s="40" t="s">
        <v>703</v>
      </c>
      <c r="M170" s="40" t="s">
        <v>275</v>
      </c>
      <c r="N170" s="42"/>
      <c r="P170" s="47">
        <v>307030</v>
      </c>
      <c r="R170" s="47" t="s">
        <v>699</v>
      </c>
    </row>
    <row r="171" spans="1:18" ht="14.4">
      <c r="A171" s="2">
        <v>1</v>
      </c>
      <c r="B171" s="2">
        <v>170</v>
      </c>
      <c r="C171" s="38">
        <v>95211101</v>
      </c>
      <c r="D171" s="4"/>
      <c r="E171" s="43" t="s">
        <v>698</v>
      </c>
      <c r="F171" s="2">
        <v>20250731</v>
      </c>
      <c r="G171" s="2">
        <v>20250731</v>
      </c>
      <c r="H171" s="2">
        <v>20250731</v>
      </c>
      <c r="I171" s="44"/>
      <c r="M171" s="39"/>
      <c r="N171" s="41" t="s">
        <v>690</v>
      </c>
      <c r="P171" s="47">
        <v>307030</v>
      </c>
      <c r="R171" s="47" t="s">
        <v>699</v>
      </c>
    </row>
    <row r="172" spans="1:18">
      <c r="A172" s="2">
        <v>1</v>
      </c>
      <c r="B172" s="2">
        <v>171</v>
      </c>
      <c r="C172" s="38">
        <v>95211101</v>
      </c>
      <c r="D172" s="4"/>
      <c r="E172" s="43" t="s">
        <v>698</v>
      </c>
      <c r="F172" s="2">
        <v>20250731</v>
      </c>
      <c r="G172" s="2">
        <v>20250731</v>
      </c>
      <c r="H172" s="2">
        <v>20250731</v>
      </c>
      <c r="I172" s="44"/>
      <c r="M172" s="40" t="s">
        <v>276</v>
      </c>
      <c r="N172" s="42"/>
      <c r="P172" s="47">
        <v>307030</v>
      </c>
      <c r="R172" s="47" t="s">
        <v>699</v>
      </c>
    </row>
    <row r="173" spans="1:18">
      <c r="A173" s="2">
        <v>1</v>
      </c>
      <c r="B173" s="2">
        <v>172</v>
      </c>
      <c r="C173" s="38">
        <v>95211101</v>
      </c>
      <c r="D173" s="4"/>
      <c r="E173" s="43" t="s">
        <v>698</v>
      </c>
      <c r="F173" s="2">
        <v>20250731</v>
      </c>
      <c r="G173" s="2">
        <v>20250731</v>
      </c>
      <c r="H173" s="2">
        <v>20250731</v>
      </c>
      <c r="I173" s="40" t="s">
        <v>759</v>
      </c>
      <c r="M173" s="40" t="s">
        <v>277</v>
      </c>
      <c r="N173" s="42"/>
      <c r="P173" s="47">
        <v>307030</v>
      </c>
      <c r="R173" s="47" t="s">
        <v>699</v>
      </c>
    </row>
    <row r="174" spans="1:18">
      <c r="A174" s="2">
        <v>1</v>
      </c>
      <c r="B174" s="2">
        <v>173</v>
      </c>
      <c r="C174" s="38">
        <v>95211101</v>
      </c>
      <c r="D174" s="4"/>
      <c r="E174" s="43" t="s">
        <v>698</v>
      </c>
      <c r="F174" s="2">
        <v>20250731</v>
      </c>
      <c r="G174" s="2">
        <v>20250731</v>
      </c>
      <c r="H174" s="2">
        <v>20250731</v>
      </c>
      <c r="I174" s="40" t="s">
        <v>760</v>
      </c>
      <c r="M174" s="40" t="s">
        <v>278</v>
      </c>
      <c r="N174" s="42"/>
      <c r="P174" s="47">
        <v>307030</v>
      </c>
      <c r="R174" s="47" t="s">
        <v>699</v>
      </c>
    </row>
    <row r="175" spans="1:18">
      <c r="A175" s="2">
        <v>1</v>
      </c>
      <c r="B175" s="2">
        <v>174</v>
      </c>
      <c r="C175" s="38">
        <v>95211101</v>
      </c>
      <c r="D175" s="4"/>
      <c r="E175" s="43" t="s">
        <v>698</v>
      </c>
      <c r="F175" s="2">
        <v>20250731</v>
      </c>
      <c r="G175" s="2">
        <v>20250731</v>
      </c>
      <c r="H175" s="2">
        <v>20250731</v>
      </c>
      <c r="I175" s="40" t="s">
        <v>768</v>
      </c>
      <c r="M175" s="40" t="s">
        <v>279</v>
      </c>
      <c r="N175" s="42"/>
      <c r="P175" s="47">
        <v>307030</v>
      </c>
      <c r="R175" s="47" t="s">
        <v>699</v>
      </c>
    </row>
    <row r="176" spans="1:18">
      <c r="A176" s="2">
        <v>1</v>
      </c>
      <c r="B176" s="2">
        <v>175</v>
      </c>
      <c r="C176" s="38">
        <v>95211101</v>
      </c>
      <c r="D176" s="4"/>
      <c r="E176" s="43" t="s">
        <v>698</v>
      </c>
      <c r="F176" s="2">
        <v>20250731</v>
      </c>
      <c r="G176" s="2">
        <v>20250731</v>
      </c>
      <c r="H176" s="2">
        <v>20250731</v>
      </c>
      <c r="I176" s="40" t="s">
        <v>774</v>
      </c>
      <c r="M176" s="40" t="s">
        <v>280</v>
      </c>
      <c r="N176" s="42"/>
      <c r="P176" s="47">
        <v>307030</v>
      </c>
      <c r="R176" s="47" t="s">
        <v>699</v>
      </c>
    </row>
    <row r="177" spans="1:18">
      <c r="A177" s="2">
        <v>1</v>
      </c>
      <c r="B177" s="2">
        <v>176</v>
      </c>
      <c r="C177" s="38">
        <v>95211101</v>
      </c>
      <c r="D177" s="4"/>
      <c r="E177" s="43" t="s">
        <v>698</v>
      </c>
      <c r="F177" s="2">
        <v>20250731</v>
      </c>
      <c r="G177" s="2">
        <v>20250731</v>
      </c>
      <c r="H177" s="2">
        <v>20250731</v>
      </c>
      <c r="I177" s="40" t="s">
        <v>788</v>
      </c>
      <c r="M177" s="40" t="s">
        <v>281</v>
      </c>
      <c r="N177" s="42"/>
      <c r="P177" s="47">
        <v>307030</v>
      </c>
      <c r="R177" s="47" t="s">
        <v>699</v>
      </c>
    </row>
    <row r="178" spans="1:18" ht="14.4">
      <c r="A178" s="2">
        <v>1</v>
      </c>
      <c r="B178" s="2">
        <v>177</v>
      </c>
      <c r="C178" s="38">
        <v>95211101</v>
      </c>
      <c r="D178" s="4"/>
      <c r="E178" s="43" t="s">
        <v>698</v>
      </c>
      <c r="F178" s="2">
        <v>20250731</v>
      </c>
      <c r="G178" s="2">
        <v>20250731</v>
      </c>
      <c r="H178" s="2">
        <v>20250731</v>
      </c>
      <c r="I178" s="44"/>
      <c r="M178" s="39"/>
      <c r="N178" s="41" t="s">
        <v>691</v>
      </c>
      <c r="P178" s="47">
        <v>307030</v>
      </c>
      <c r="R178" s="47" t="s">
        <v>699</v>
      </c>
    </row>
    <row r="179" spans="1:18">
      <c r="A179" s="2">
        <v>1</v>
      </c>
      <c r="B179" s="2">
        <v>178</v>
      </c>
      <c r="C179" s="38">
        <v>95211101</v>
      </c>
      <c r="D179" s="4"/>
      <c r="E179" s="43" t="s">
        <v>698</v>
      </c>
      <c r="F179" s="2">
        <v>20250731</v>
      </c>
      <c r="G179" s="2">
        <v>20250731</v>
      </c>
      <c r="H179" s="2">
        <v>20250731</v>
      </c>
      <c r="I179" s="44"/>
      <c r="M179" s="40" t="s">
        <v>282</v>
      </c>
      <c r="N179" s="42"/>
      <c r="P179" s="47">
        <v>307030</v>
      </c>
      <c r="R179" s="47" t="s">
        <v>699</v>
      </c>
    </row>
    <row r="180" spans="1:18" ht="14.4">
      <c r="A180" s="2">
        <v>1</v>
      </c>
      <c r="B180" s="2">
        <v>179</v>
      </c>
      <c r="C180" s="38">
        <v>95211101</v>
      </c>
      <c r="D180" s="4"/>
      <c r="E180" s="43" t="s">
        <v>698</v>
      </c>
      <c r="F180" s="2">
        <v>20250731</v>
      </c>
      <c r="G180" s="2">
        <v>20250731</v>
      </c>
      <c r="H180" s="2">
        <v>20250731</v>
      </c>
      <c r="I180" s="44"/>
      <c r="M180" s="39"/>
      <c r="N180" s="41" t="s">
        <v>692</v>
      </c>
      <c r="P180" s="47">
        <v>307030</v>
      </c>
      <c r="R180" s="47" t="s">
        <v>699</v>
      </c>
    </row>
    <row r="181" spans="1:18">
      <c r="A181" s="2">
        <v>1</v>
      </c>
      <c r="B181" s="2">
        <v>180</v>
      </c>
      <c r="C181" s="38">
        <v>95211101</v>
      </c>
      <c r="D181" s="4"/>
      <c r="E181" s="43" t="s">
        <v>698</v>
      </c>
      <c r="F181" s="2">
        <v>20250731</v>
      </c>
      <c r="G181" s="2">
        <v>20250731</v>
      </c>
      <c r="H181" s="2">
        <v>20250731</v>
      </c>
      <c r="I181" s="44"/>
      <c r="M181" s="40" t="s">
        <v>283</v>
      </c>
      <c r="N181" s="42"/>
      <c r="P181" s="47">
        <v>307030</v>
      </c>
      <c r="R181" s="47" t="s">
        <v>699</v>
      </c>
    </row>
    <row r="182" spans="1:18">
      <c r="A182" s="2">
        <v>1</v>
      </c>
      <c r="B182" s="2">
        <v>181</v>
      </c>
      <c r="C182" s="38">
        <v>95211101</v>
      </c>
      <c r="D182" s="4"/>
      <c r="E182" s="43" t="s">
        <v>698</v>
      </c>
      <c r="F182" s="2">
        <v>20250731</v>
      </c>
      <c r="G182" s="2">
        <v>20250731</v>
      </c>
      <c r="H182" s="2">
        <v>20250731</v>
      </c>
      <c r="I182" s="44"/>
      <c r="M182" s="40" t="s">
        <v>134</v>
      </c>
      <c r="N182" s="42"/>
      <c r="P182" s="47">
        <v>307030</v>
      </c>
      <c r="R182" s="47" t="s">
        <v>699</v>
      </c>
    </row>
    <row r="183" spans="1:18" ht="14.4">
      <c r="A183" s="2">
        <v>1</v>
      </c>
      <c r="B183" s="2">
        <v>182</v>
      </c>
      <c r="C183" s="38">
        <v>95211101</v>
      </c>
      <c r="D183" s="4"/>
      <c r="E183" s="43" t="s">
        <v>698</v>
      </c>
      <c r="F183" s="2">
        <v>20250731</v>
      </c>
      <c r="G183" s="2">
        <v>20250731</v>
      </c>
      <c r="H183" s="2">
        <v>20250731</v>
      </c>
      <c r="I183" s="44"/>
      <c r="M183" s="39"/>
      <c r="N183" s="41" t="s">
        <v>693</v>
      </c>
      <c r="P183" s="47">
        <v>307030</v>
      </c>
      <c r="R183" s="47" t="s">
        <v>699</v>
      </c>
    </row>
    <row r="184" spans="1:18">
      <c r="A184" s="2">
        <v>1</v>
      </c>
      <c r="B184" s="2">
        <v>183</v>
      </c>
      <c r="C184" s="38">
        <v>95211101</v>
      </c>
      <c r="D184" s="4"/>
      <c r="E184" s="43" t="s">
        <v>698</v>
      </c>
      <c r="F184" s="2">
        <v>20250731</v>
      </c>
      <c r="G184" s="2">
        <v>20250731</v>
      </c>
      <c r="H184" s="2">
        <v>20250731</v>
      </c>
      <c r="I184" s="44"/>
      <c r="M184" s="40" t="s">
        <v>284</v>
      </c>
      <c r="N184" s="42"/>
      <c r="P184" s="47">
        <v>307030</v>
      </c>
      <c r="R184" s="47" t="s">
        <v>699</v>
      </c>
    </row>
    <row r="185" spans="1:18">
      <c r="A185" s="2">
        <v>1</v>
      </c>
      <c r="B185" s="2">
        <v>184</v>
      </c>
      <c r="C185" s="38">
        <v>95211101</v>
      </c>
      <c r="D185" s="4"/>
      <c r="E185" s="43" t="s">
        <v>698</v>
      </c>
      <c r="F185" s="2">
        <v>20250731</v>
      </c>
      <c r="G185" s="2">
        <v>20250731</v>
      </c>
      <c r="H185" s="2">
        <v>20250731</v>
      </c>
      <c r="I185" s="44"/>
      <c r="M185" s="40" t="s">
        <v>132</v>
      </c>
      <c r="N185" s="42"/>
      <c r="P185" s="47">
        <v>307030</v>
      </c>
      <c r="R185" s="47" t="s">
        <v>699</v>
      </c>
    </row>
    <row r="186" spans="1:18">
      <c r="A186" s="2">
        <v>1</v>
      </c>
      <c r="B186" s="2">
        <v>185</v>
      </c>
      <c r="C186" s="38">
        <v>95211101</v>
      </c>
      <c r="D186" s="4"/>
      <c r="E186" s="43" t="s">
        <v>698</v>
      </c>
      <c r="F186" s="2">
        <v>20250731</v>
      </c>
      <c r="G186" s="2">
        <v>20250731</v>
      </c>
      <c r="H186" s="2">
        <v>20250731</v>
      </c>
      <c r="I186" s="40" t="s">
        <v>782</v>
      </c>
      <c r="M186" s="40" t="s">
        <v>285</v>
      </c>
      <c r="N186" s="42"/>
      <c r="P186" s="47">
        <v>307030</v>
      </c>
      <c r="R186" s="47" t="s">
        <v>699</v>
      </c>
    </row>
    <row r="187" spans="1:18">
      <c r="A187" s="2">
        <v>1</v>
      </c>
      <c r="B187" s="2">
        <v>186</v>
      </c>
      <c r="C187" s="38">
        <v>95211101</v>
      </c>
      <c r="D187" s="4"/>
      <c r="E187" s="43" t="s">
        <v>698</v>
      </c>
      <c r="F187" s="2">
        <v>20250731</v>
      </c>
      <c r="G187" s="2">
        <v>20250731</v>
      </c>
      <c r="H187" s="2">
        <v>20250731</v>
      </c>
      <c r="I187" s="40" t="s">
        <v>791</v>
      </c>
      <c r="M187" s="40" t="s">
        <v>211</v>
      </c>
      <c r="N187" s="42"/>
      <c r="P187" s="47">
        <v>307030</v>
      </c>
      <c r="R187" s="47" t="s">
        <v>699</v>
      </c>
    </row>
    <row r="188" spans="1:18">
      <c r="A188" s="2">
        <v>1</v>
      </c>
      <c r="B188" s="2">
        <v>187</v>
      </c>
      <c r="C188" s="38">
        <v>95211101</v>
      </c>
      <c r="D188" s="4"/>
      <c r="E188" s="43" t="s">
        <v>698</v>
      </c>
      <c r="F188" s="2">
        <v>20250731</v>
      </c>
      <c r="G188" s="2">
        <v>20250731</v>
      </c>
      <c r="H188" s="2">
        <v>20250731</v>
      </c>
      <c r="I188" s="44"/>
      <c r="M188" s="40" t="s">
        <v>286</v>
      </c>
      <c r="N188" s="42"/>
      <c r="P188" s="47">
        <v>307030</v>
      </c>
      <c r="R188" s="47" t="s">
        <v>699</v>
      </c>
    </row>
    <row r="189" spans="1:18">
      <c r="A189" s="2">
        <v>1</v>
      </c>
      <c r="B189" s="2">
        <v>188</v>
      </c>
      <c r="C189" s="38">
        <v>95211101</v>
      </c>
      <c r="D189" s="4"/>
      <c r="E189" s="43" t="s">
        <v>698</v>
      </c>
      <c r="F189" s="2">
        <v>20250731</v>
      </c>
      <c r="G189" s="2">
        <v>20250731</v>
      </c>
      <c r="H189" s="2">
        <v>20250731</v>
      </c>
      <c r="I189" s="40" t="s">
        <v>842</v>
      </c>
      <c r="M189" s="40" t="s">
        <v>123</v>
      </c>
      <c r="N189" s="42"/>
      <c r="P189" s="47">
        <v>307030</v>
      </c>
      <c r="R189" s="47" t="s">
        <v>699</v>
      </c>
    </row>
    <row r="190" spans="1:18" ht="14.4">
      <c r="A190" s="2">
        <v>1</v>
      </c>
      <c r="B190" s="2">
        <v>189</v>
      </c>
      <c r="C190" s="38">
        <v>95211101</v>
      </c>
      <c r="D190" s="4"/>
      <c r="E190" s="43" t="s">
        <v>698</v>
      </c>
      <c r="F190" s="2">
        <v>20250731</v>
      </c>
      <c r="G190" s="2">
        <v>20250731</v>
      </c>
      <c r="H190" s="2">
        <v>20250731</v>
      </c>
      <c r="I190" s="44"/>
      <c r="M190" s="39"/>
      <c r="N190" s="41" t="s">
        <v>694</v>
      </c>
      <c r="P190" s="47">
        <v>307030</v>
      </c>
      <c r="R190" s="47" t="s">
        <v>699</v>
      </c>
    </row>
    <row r="191" spans="1:18">
      <c r="A191" s="2">
        <v>1</v>
      </c>
      <c r="B191" s="2">
        <v>190</v>
      </c>
      <c r="C191" s="38">
        <v>95211101</v>
      </c>
      <c r="D191" s="4"/>
      <c r="E191" s="43" t="s">
        <v>698</v>
      </c>
      <c r="F191" s="2">
        <v>20250731</v>
      </c>
      <c r="G191" s="2">
        <v>20250731</v>
      </c>
      <c r="H191" s="2">
        <v>20250731</v>
      </c>
      <c r="I191" s="44"/>
      <c r="M191" s="40" t="s">
        <v>273</v>
      </c>
      <c r="N191" s="42"/>
      <c r="P191" s="47">
        <v>307030</v>
      </c>
      <c r="R191" s="47" t="s">
        <v>699</v>
      </c>
    </row>
    <row r="192" spans="1:18">
      <c r="A192" s="2">
        <v>1</v>
      </c>
      <c r="B192" s="2">
        <v>191</v>
      </c>
      <c r="C192" s="38">
        <v>95211101</v>
      </c>
      <c r="D192" s="4"/>
      <c r="E192" s="43" t="s">
        <v>698</v>
      </c>
      <c r="F192" s="2">
        <v>20250731</v>
      </c>
      <c r="G192" s="2">
        <v>20250731</v>
      </c>
      <c r="H192" s="2">
        <v>20250731</v>
      </c>
      <c r="I192" s="40" t="s">
        <v>716</v>
      </c>
      <c r="M192" s="40" t="s">
        <v>278</v>
      </c>
      <c r="N192" s="42"/>
      <c r="P192" s="47">
        <v>307030</v>
      </c>
      <c r="R192" s="47" t="s">
        <v>699</v>
      </c>
    </row>
    <row r="193" spans="1:18">
      <c r="A193" s="2">
        <v>1</v>
      </c>
      <c r="B193" s="2">
        <v>192</v>
      </c>
      <c r="C193" s="38">
        <v>95211101</v>
      </c>
      <c r="D193" s="4"/>
      <c r="E193" s="43" t="s">
        <v>698</v>
      </c>
      <c r="F193" s="2">
        <v>20250731</v>
      </c>
      <c r="G193" s="2">
        <v>20250731</v>
      </c>
      <c r="H193" s="2">
        <v>20250731</v>
      </c>
      <c r="I193" s="44"/>
      <c r="M193" s="40" t="s">
        <v>287</v>
      </c>
      <c r="N193" s="42"/>
      <c r="P193" s="47">
        <v>307030</v>
      </c>
      <c r="R193" s="47" t="s">
        <v>699</v>
      </c>
    </row>
    <row r="194" spans="1:18">
      <c r="A194" s="2">
        <v>1</v>
      </c>
      <c r="B194" s="2">
        <v>193</v>
      </c>
      <c r="C194" s="38">
        <v>95211101</v>
      </c>
      <c r="D194" s="4"/>
      <c r="E194" s="43" t="s">
        <v>698</v>
      </c>
      <c r="F194" s="2">
        <v>20250731</v>
      </c>
      <c r="G194" s="2">
        <v>20250731</v>
      </c>
      <c r="H194" s="2">
        <v>20250731</v>
      </c>
      <c r="I194" s="44"/>
      <c r="M194" s="40" t="s">
        <v>288</v>
      </c>
      <c r="N194" s="42"/>
      <c r="P194" s="47">
        <v>307030</v>
      </c>
      <c r="R194" s="47" t="s">
        <v>699</v>
      </c>
    </row>
    <row r="195" spans="1:18">
      <c r="A195" s="2">
        <v>1</v>
      </c>
      <c r="B195" s="2">
        <v>194</v>
      </c>
      <c r="C195" s="38">
        <v>95211101</v>
      </c>
      <c r="D195" s="4"/>
      <c r="E195" s="43" t="s">
        <v>698</v>
      </c>
      <c r="F195" s="2">
        <v>20250731</v>
      </c>
      <c r="G195" s="2">
        <v>20250731</v>
      </c>
      <c r="H195" s="2">
        <v>20250731</v>
      </c>
      <c r="I195" s="44"/>
      <c r="M195" s="40" t="s">
        <v>289</v>
      </c>
      <c r="N195" s="42"/>
      <c r="P195" s="47">
        <v>307030</v>
      </c>
      <c r="R195" s="47" t="s">
        <v>699</v>
      </c>
    </row>
    <row r="196" spans="1:18">
      <c r="A196" s="2">
        <v>1</v>
      </c>
      <c r="B196" s="2">
        <v>195</v>
      </c>
      <c r="C196" s="38">
        <v>95211101</v>
      </c>
      <c r="D196" s="4"/>
      <c r="E196" s="43" t="s">
        <v>698</v>
      </c>
      <c r="F196" s="2">
        <v>20250731</v>
      </c>
      <c r="G196" s="2">
        <v>20250731</v>
      </c>
      <c r="H196" s="2">
        <v>20250731</v>
      </c>
      <c r="I196" s="44"/>
      <c r="M196" s="40" t="s">
        <v>119</v>
      </c>
      <c r="N196" s="42"/>
      <c r="P196" s="47">
        <v>307030</v>
      </c>
      <c r="R196" s="47" t="s">
        <v>699</v>
      </c>
    </row>
    <row r="197" spans="1:18">
      <c r="A197" s="2">
        <v>1</v>
      </c>
      <c r="B197" s="2">
        <v>196</v>
      </c>
      <c r="C197" s="38">
        <v>95211101</v>
      </c>
      <c r="D197" s="4"/>
      <c r="E197" s="43" t="s">
        <v>698</v>
      </c>
      <c r="F197" s="2">
        <v>20250731</v>
      </c>
      <c r="G197" s="2">
        <v>20250731</v>
      </c>
      <c r="H197" s="2">
        <v>20250731</v>
      </c>
      <c r="I197" s="44"/>
      <c r="M197" s="40" t="s">
        <v>290</v>
      </c>
      <c r="N197" s="42"/>
      <c r="P197" s="47">
        <v>307030</v>
      </c>
      <c r="R197" s="47" t="s">
        <v>699</v>
      </c>
    </row>
    <row r="198" spans="1:18">
      <c r="A198" s="2">
        <v>1</v>
      </c>
      <c r="B198" s="2">
        <v>197</v>
      </c>
      <c r="C198" s="38">
        <v>95211101</v>
      </c>
      <c r="D198" s="4"/>
      <c r="E198" s="43" t="s">
        <v>698</v>
      </c>
      <c r="F198" s="2">
        <v>20250731</v>
      </c>
      <c r="G198" s="2">
        <v>20250731</v>
      </c>
      <c r="H198" s="2">
        <v>20250731</v>
      </c>
      <c r="I198" s="44"/>
      <c r="M198" s="40" t="s">
        <v>179</v>
      </c>
      <c r="N198" s="42"/>
      <c r="P198" s="47">
        <v>307030</v>
      </c>
      <c r="R198" s="47" t="s">
        <v>699</v>
      </c>
    </row>
    <row r="199" spans="1:18" ht="14.4">
      <c r="A199" s="2">
        <v>1</v>
      </c>
      <c r="B199" s="2">
        <v>198</v>
      </c>
      <c r="C199" s="38">
        <v>95211101</v>
      </c>
      <c r="D199" s="4"/>
      <c r="E199" s="43" t="s">
        <v>698</v>
      </c>
      <c r="F199" s="2">
        <v>20250731</v>
      </c>
      <c r="G199" s="2">
        <v>20250731</v>
      </c>
      <c r="H199" s="2">
        <v>20250731</v>
      </c>
      <c r="I199" s="44"/>
      <c r="M199" s="39"/>
      <c r="N199" s="41" t="s">
        <v>695</v>
      </c>
      <c r="P199" s="47">
        <v>307030</v>
      </c>
      <c r="R199" s="47" t="s">
        <v>699</v>
      </c>
    </row>
    <row r="200" spans="1:18">
      <c r="A200" s="2">
        <v>1</v>
      </c>
      <c r="B200" s="2">
        <v>199</v>
      </c>
      <c r="C200" s="38">
        <v>95211101</v>
      </c>
      <c r="D200" s="4"/>
      <c r="E200" s="43" t="s">
        <v>698</v>
      </c>
      <c r="F200" s="2">
        <v>20250731</v>
      </c>
      <c r="G200" s="2">
        <v>20250731</v>
      </c>
      <c r="H200" s="2">
        <v>20250731</v>
      </c>
      <c r="I200" s="44"/>
      <c r="M200" s="40" t="s">
        <v>291</v>
      </c>
      <c r="N200" s="42"/>
      <c r="P200" s="47">
        <v>307030</v>
      </c>
      <c r="R200" s="47" t="s">
        <v>699</v>
      </c>
    </row>
    <row r="201" spans="1:18" ht="14.4">
      <c r="A201" s="2">
        <v>1</v>
      </c>
      <c r="B201" s="2">
        <v>200</v>
      </c>
      <c r="C201" s="38">
        <v>95211101</v>
      </c>
      <c r="D201" s="4"/>
      <c r="E201" s="43" t="s">
        <v>698</v>
      </c>
      <c r="F201" s="2">
        <v>20250731</v>
      </c>
      <c r="G201" s="2">
        <v>20250731</v>
      </c>
      <c r="H201" s="2">
        <v>20250731</v>
      </c>
      <c r="I201" s="44"/>
      <c r="M201" s="39"/>
      <c r="N201" s="41" t="s">
        <v>696</v>
      </c>
      <c r="P201" s="47">
        <v>307030</v>
      </c>
      <c r="R201" s="47" t="s">
        <v>699</v>
      </c>
    </row>
    <row r="202" spans="1:18">
      <c r="A202" s="2">
        <v>1</v>
      </c>
      <c r="B202" s="2">
        <v>201</v>
      </c>
      <c r="C202" s="38">
        <v>95211101</v>
      </c>
      <c r="D202" s="4"/>
      <c r="E202" s="43" t="s">
        <v>698</v>
      </c>
      <c r="F202" s="2">
        <v>20250731</v>
      </c>
      <c r="G202" s="2">
        <v>20250731</v>
      </c>
      <c r="H202" s="2">
        <v>20250731</v>
      </c>
      <c r="I202" s="44"/>
      <c r="M202" s="40" t="s">
        <v>292</v>
      </c>
      <c r="N202" s="42"/>
      <c r="P202" s="47">
        <v>307030</v>
      </c>
      <c r="R202" s="47" t="s">
        <v>699</v>
      </c>
    </row>
    <row r="203" spans="1:18">
      <c r="A203" s="2">
        <v>1</v>
      </c>
      <c r="B203" s="2">
        <v>202</v>
      </c>
      <c r="C203" s="38">
        <v>95211101</v>
      </c>
      <c r="D203" s="4"/>
      <c r="E203" s="43" t="s">
        <v>698</v>
      </c>
      <c r="F203" s="2">
        <v>20250731</v>
      </c>
      <c r="G203" s="2">
        <v>20250731</v>
      </c>
      <c r="H203" s="2">
        <v>20250731</v>
      </c>
      <c r="I203" s="44"/>
      <c r="M203" s="40" t="s">
        <v>293</v>
      </c>
      <c r="N203" s="42"/>
      <c r="P203" s="47">
        <v>307030</v>
      </c>
      <c r="R203" s="47" t="s">
        <v>699</v>
      </c>
    </row>
    <row r="204" spans="1:18">
      <c r="A204" s="2">
        <v>1</v>
      </c>
      <c r="B204" s="2">
        <v>203</v>
      </c>
      <c r="C204" s="38">
        <v>95211101</v>
      </c>
      <c r="D204" s="4"/>
      <c r="E204" s="43" t="s">
        <v>698</v>
      </c>
      <c r="F204" s="2">
        <v>20250731</v>
      </c>
      <c r="G204" s="2">
        <v>20250731</v>
      </c>
      <c r="H204" s="2">
        <v>20250731</v>
      </c>
      <c r="I204" s="40" t="s">
        <v>824</v>
      </c>
      <c r="M204" s="40" t="s">
        <v>123</v>
      </c>
      <c r="N204" s="42"/>
      <c r="P204" s="47">
        <v>307030</v>
      </c>
      <c r="R204" s="47" t="s">
        <v>699</v>
      </c>
    </row>
    <row r="205" spans="1:18">
      <c r="A205" s="2">
        <v>1</v>
      </c>
      <c r="B205" s="2">
        <v>204</v>
      </c>
      <c r="C205" s="38">
        <v>95211101</v>
      </c>
      <c r="D205" s="4"/>
      <c r="E205" s="43" t="s">
        <v>698</v>
      </c>
      <c r="F205" s="2">
        <v>20250731</v>
      </c>
      <c r="G205" s="2">
        <v>20250731</v>
      </c>
      <c r="H205" s="2">
        <v>20250731</v>
      </c>
      <c r="I205" s="40" t="s">
        <v>829</v>
      </c>
      <c r="M205" s="40" t="s">
        <v>123</v>
      </c>
      <c r="N205" s="42"/>
      <c r="P205" s="47">
        <v>307030</v>
      </c>
      <c r="R205" s="47" t="s">
        <v>699</v>
      </c>
    </row>
    <row r="206" spans="1:18">
      <c r="A206" s="2">
        <v>1</v>
      </c>
      <c r="B206" s="2">
        <v>205</v>
      </c>
      <c r="C206" s="38">
        <v>95211101</v>
      </c>
      <c r="D206" s="4"/>
      <c r="E206" s="43" t="s">
        <v>698</v>
      </c>
      <c r="F206" s="2">
        <v>20250731</v>
      </c>
      <c r="G206" s="2">
        <v>20250731</v>
      </c>
      <c r="H206" s="2">
        <v>20250731</v>
      </c>
      <c r="I206" s="40" t="s">
        <v>830</v>
      </c>
      <c r="M206" s="40" t="s">
        <v>123</v>
      </c>
      <c r="N206" s="42"/>
      <c r="P206" s="47">
        <v>307030</v>
      </c>
      <c r="R206" s="47" t="s">
        <v>699</v>
      </c>
    </row>
    <row r="207" spans="1:18">
      <c r="A207" s="2">
        <v>1</v>
      </c>
      <c r="B207" s="2">
        <v>206</v>
      </c>
      <c r="C207" s="38">
        <v>95211101</v>
      </c>
      <c r="D207" s="4"/>
      <c r="E207" s="43" t="s">
        <v>698</v>
      </c>
      <c r="F207" s="2">
        <v>20250731</v>
      </c>
      <c r="G207" s="2">
        <v>20250731</v>
      </c>
      <c r="H207" s="2">
        <v>20250731</v>
      </c>
      <c r="I207" s="40" t="s">
        <v>721</v>
      </c>
      <c r="M207" s="40" t="s">
        <v>123</v>
      </c>
      <c r="N207" s="42"/>
      <c r="P207" s="47">
        <v>307030</v>
      </c>
      <c r="R207" s="47" t="s">
        <v>699</v>
      </c>
    </row>
    <row r="208" spans="1:18">
      <c r="A208" s="2">
        <v>1</v>
      </c>
      <c r="B208" s="2">
        <v>207</v>
      </c>
      <c r="C208" s="38">
        <v>95211101</v>
      </c>
      <c r="D208" s="4"/>
      <c r="E208" s="43" t="s">
        <v>698</v>
      </c>
      <c r="F208" s="2">
        <v>20250731</v>
      </c>
      <c r="G208" s="2">
        <v>20250731</v>
      </c>
      <c r="H208" s="2">
        <v>20250731</v>
      </c>
      <c r="I208" s="40" t="s">
        <v>853</v>
      </c>
      <c r="M208" s="40" t="s">
        <v>123</v>
      </c>
      <c r="N208" s="42"/>
      <c r="P208" s="47">
        <v>307030</v>
      </c>
      <c r="R208" s="47" t="s">
        <v>699</v>
      </c>
    </row>
    <row r="209" spans="1:18">
      <c r="A209" s="2">
        <v>1</v>
      </c>
      <c r="B209" s="2">
        <v>208</v>
      </c>
      <c r="C209" s="38">
        <v>95211101</v>
      </c>
      <c r="D209" s="4"/>
      <c r="E209" s="43" t="s">
        <v>698</v>
      </c>
      <c r="F209" s="2">
        <v>20250731</v>
      </c>
      <c r="G209" s="2">
        <v>20250731</v>
      </c>
      <c r="H209" s="2">
        <v>20250731</v>
      </c>
      <c r="I209" s="40" t="s">
        <v>1131</v>
      </c>
      <c r="M209" s="40" t="s">
        <v>123</v>
      </c>
      <c r="N209" s="42"/>
      <c r="P209" s="47">
        <v>307030</v>
      </c>
      <c r="R209" s="47" t="s">
        <v>699</v>
      </c>
    </row>
    <row r="210" spans="1:18">
      <c r="A210" s="2">
        <v>1</v>
      </c>
      <c r="B210" s="2">
        <v>209</v>
      </c>
      <c r="C210" s="38">
        <v>95211101</v>
      </c>
      <c r="D210" s="4"/>
      <c r="E210" s="43" t="s">
        <v>698</v>
      </c>
      <c r="F210" s="2">
        <v>20250731</v>
      </c>
      <c r="G210" s="2">
        <v>20250731</v>
      </c>
      <c r="H210" s="2">
        <v>20250731</v>
      </c>
      <c r="I210" s="40" t="s">
        <v>860</v>
      </c>
      <c r="M210" s="40" t="s">
        <v>123</v>
      </c>
      <c r="N210" s="42"/>
      <c r="P210" s="47">
        <v>307030</v>
      </c>
      <c r="R210" s="47" t="s">
        <v>699</v>
      </c>
    </row>
    <row r="211" spans="1:18">
      <c r="A211" s="2">
        <v>1</v>
      </c>
      <c r="B211" s="2">
        <v>210</v>
      </c>
      <c r="C211" s="38">
        <v>95211101</v>
      </c>
      <c r="D211" s="4"/>
      <c r="E211" s="43" t="s">
        <v>698</v>
      </c>
      <c r="F211" s="2">
        <v>20250731</v>
      </c>
      <c r="G211" s="2">
        <v>20250731</v>
      </c>
      <c r="H211" s="2">
        <v>20250731</v>
      </c>
      <c r="I211" s="40" t="s">
        <v>862</v>
      </c>
      <c r="M211" s="40" t="s">
        <v>123</v>
      </c>
      <c r="N211" s="42"/>
      <c r="P211" s="47">
        <v>307030</v>
      </c>
      <c r="R211" s="47" t="s">
        <v>699</v>
      </c>
    </row>
    <row r="212" spans="1:18">
      <c r="A212" s="2">
        <v>1</v>
      </c>
      <c r="B212" s="2">
        <v>211</v>
      </c>
      <c r="C212" s="38">
        <v>95211101</v>
      </c>
      <c r="D212" s="4"/>
      <c r="E212" s="43" t="s">
        <v>698</v>
      </c>
      <c r="F212" s="2">
        <v>20250731</v>
      </c>
      <c r="G212" s="2">
        <v>20250731</v>
      </c>
      <c r="H212" s="2">
        <v>20250731</v>
      </c>
      <c r="I212" s="40" t="s">
        <v>863</v>
      </c>
      <c r="M212" s="40" t="s">
        <v>123</v>
      </c>
      <c r="N212" s="42"/>
      <c r="P212" s="47">
        <v>307030</v>
      </c>
      <c r="R212" s="47" t="s">
        <v>699</v>
      </c>
    </row>
    <row r="213" spans="1:18">
      <c r="A213" s="2">
        <v>1</v>
      </c>
      <c r="B213" s="2">
        <v>212</v>
      </c>
      <c r="C213" s="38">
        <v>95211101</v>
      </c>
      <c r="D213" s="4"/>
      <c r="E213" s="43" t="s">
        <v>698</v>
      </c>
      <c r="F213" s="2">
        <v>20250731</v>
      </c>
      <c r="G213" s="2">
        <v>20250731</v>
      </c>
      <c r="H213" s="2">
        <v>20250731</v>
      </c>
      <c r="I213" s="40" t="s">
        <v>1140</v>
      </c>
      <c r="M213" s="40" t="s">
        <v>123</v>
      </c>
      <c r="N213" s="42"/>
      <c r="P213" s="47">
        <v>307030</v>
      </c>
      <c r="R213" s="47" t="s">
        <v>699</v>
      </c>
    </row>
    <row r="214" spans="1:18">
      <c r="A214" s="2">
        <v>1</v>
      </c>
      <c r="B214" s="2">
        <v>213</v>
      </c>
      <c r="C214" s="38">
        <v>95211101</v>
      </c>
      <c r="D214" s="4"/>
      <c r="E214" s="43" t="s">
        <v>698</v>
      </c>
      <c r="F214" s="2">
        <v>20250731</v>
      </c>
      <c r="G214" s="2">
        <v>20250731</v>
      </c>
      <c r="H214" s="2">
        <v>20250731</v>
      </c>
      <c r="I214" s="40" t="s">
        <v>1141</v>
      </c>
      <c r="M214" s="40" t="s">
        <v>123</v>
      </c>
      <c r="N214" s="42"/>
      <c r="P214" s="47">
        <v>307030</v>
      </c>
      <c r="R214" s="47" t="s">
        <v>699</v>
      </c>
    </row>
    <row r="215" spans="1:18">
      <c r="A215" s="2">
        <v>1</v>
      </c>
      <c r="B215" s="2">
        <v>214</v>
      </c>
      <c r="C215" s="38">
        <v>95211101</v>
      </c>
      <c r="D215" s="4"/>
      <c r="E215" s="43" t="s">
        <v>698</v>
      </c>
      <c r="F215" s="2">
        <v>20250731</v>
      </c>
      <c r="G215" s="2">
        <v>20250731</v>
      </c>
      <c r="H215" s="2">
        <v>20250731</v>
      </c>
      <c r="I215" s="44"/>
      <c r="M215" s="40" t="s">
        <v>294</v>
      </c>
      <c r="N215" s="42"/>
      <c r="P215" s="47">
        <v>307030</v>
      </c>
      <c r="R215" s="47" t="s">
        <v>699</v>
      </c>
    </row>
    <row r="216" spans="1:18">
      <c r="A216" s="2">
        <v>1</v>
      </c>
      <c r="B216" s="2">
        <v>215</v>
      </c>
      <c r="C216" s="38">
        <v>95211101</v>
      </c>
      <c r="D216" s="4"/>
      <c r="E216" s="43" t="s">
        <v>698</v>
      </c>
      <c r="F216" s="2">
        <v>20250731</v>
      </c>
      <c r="G216" s="2">
        <v>20250731</v>
      </c>
      <c r="H216" s="2">
        <v>20250731</v>
      </c>
      <c r="I216" s="40" t="s">
        <v>874</v>
      </c>
      <c r="M216" s="40" t="s">
        <v>278</v>
      </c>
      <c r="N216" s="42"/>
      <c r="P216" s="47">
        <v>307030</v>
      </c>
      <c r="R216" s="47" t="s">
        <v>699</v>
      </c>
    </row>
    <row r="217" spans="1:18">
      <c r="A217" s="2">
        <v>1</v>
      </c>
      <c r="B217" s="2">
        <v>216</v>
      </c>
      <c r="C217" s="38">
        <v>95211101</v>
      </c>
      <c r="D217" s="4"/>
      <c r="E217" s="43" t="s">
        <v>698</v>
      </c>
      <c r="F217" s="2">
        <v>20250731</v>
      </c>
      <c r="G217" s="2">
        <v>20250731</v>
      </c>
      <c r="H217" s="2">
        <v>20250731</v>
      </c>
      <c r="I217" s="44"/>
      <c r="M217" s="40" t="s">
        <v>295</v>
      </c>
      <c r="N217" s="42"/>
      <c r="P217" s="47">
        <v>307030</v>
      </c>
      <c r="R217" s="47" t="s">
        <v>699</v>
      </c>
    </row>
    <row r="218" spans="1:18">
      <c r="A218" s="2">
        <v>1</v>
      </c>
      <c r="B218" s="2">
        <v>217</v>
      </c>
      <c r="C218" s="38">
        <v>95211101</v>
      </c>
      <c r="D218" s="4"/>
      <c r="E218" s="43" t="s">
        <v>698</v>
      </c>
      <c r="F218" s="2">
        <v>20250731</v>
      </c>
      <c r="G218" s="2">
        <v>20250731</v>
      </c>
      <c r="H218" s="2">
        <v>20250731</v>
      </c>
      <c r="I218" s="44"/>
      <c r="M218" s="40" t="s">
        <v>296</v>
      </c>
      <c r="N218" s="42"/>
      <c r="P218" s="47">
        <v>307030</v>
      </c>
      <c r="R218" s="47" t="s">
        <v>699</v>
      </c>
    </row>
    <row r="219" spans="1:18">
      <c r="A219" s="2">
        <v>1</v>
      </c>
      <c r="B219" s="2">
        <v>218</v>
      </c>
      <c r="C219" s="38">
        <v>95211101</v>
      </c>
      <c r="D219" s="4"/>
      <c r="E219" s="43" t="s">
        <v>698</v>
      </c>
      <c r="F219" s="2">
        <v>20250731</v>
      </c>
      <c r="G219" s="2">
        <v>20250731</v>
      </c>
      <c r="H219" s="2">
        <v>20250731</v>
      </c>
      <c r="I219" s="44"/>
      <c r="M219" s="40" t="s">
        <v>297</v>
      </c>
      <c r="N219" s="42"/>
      <c r="P219" s="47">
        <v>307030</v>
      </c>
      <c r="R219" s="47" t="s">
        <v>699</v>
      </c>
    </row>
    <row r="220" spans="1:18">
      <c r="A220" s="2">
        <v>1</v>
      </c>
      <c r="B220" s="2">
        <v>219</v>
      </c>
      <c r="C220" s="38">
        <v>95211101</v>
      </c>
      <c r="D220" s="4"/>
      <c r="E220" s="43" t="s">
        <v>698</v>
      </c>
      <c r="F220" s="2">
        <v>20250731</v>
      </c>
      <c r="G220" s="2">
        <v>20250731</v>
      </c>
      <c r="H220" s="2">
        <v>20250731</v>
      </c>
      <c r="I220" s="44"/>
      <c r="M220" s="40" t="s">
        <v>121</v>
      </c>
      <c r="N220" s="42"/>
      <c r="P220" s="47">
        <v>307030</v>
      </c>
      <c r="R220" s="47" t="s">
        <v>699</v>
      </c>
    </row>
    <row r="221" spans="1:18">
      <c r="A221" s="2">
        <v>1</v>
      </c>
      <c r="B221" s="2">
        <v>220</v>
      </c>
      <c r="C221" s="38">
        <v>95211101</v>
      </c>
      <c r="D221" s="4"/>
      <c r="E221" s="43" t="s">
        <v>698</v>
      </c>
      <c r="F221" s="2">
        <v>20250731</v>
      </c>
      <c r="G221" s="2">
        <v>20250731</v>
      </c>
      <c r="H221" s="2">
        <v>20250731</v>
      </c>
      <c r="I221" s="44"/>
      <c r="M221" s="40" t="s">
        <v>298</v>
      </c>
      <c r="N221" s="42"/>
      <c r="P221" s="47">
        <v>307030</v>
      </c>
      <c r="R221" s="47" t="s">
        <v>699</v>
      </c>
    </row>
    <row r="222" spans="1:18">
      <c r="A222" s="2">
        <v>1</v>
      </c>
      <c r="B222" s="2">
        <v>221</v>
      </c>
      <c r="C222" s="38">
        <v>95211101</v>
      </c>
      <c r="D222" s="4"/>
      <c r="E222" s="43" t="s">
        <v>698</v>
      </c>
      <c r="F222" s="2">
        <v>20250731</v>
      </c>
      <c r="G222" s="2">
        <v>20250731</v>
      </c>
      <c r="H222" s="2">
        <v>20250731</v>
      </c>
      <c r="I222" s="44"/>
      <c r="M222" s="40" t="s">
        <v>299</v>
      </c>
      <c r="N222" s="42"/>
      <c r="P222" s="47">
        <v>307030</v>
      </c>
      <c r="R222" s="47" t="s">
        <v>699</v>
      </c>
    </row>
    <row r="223" spans="1:18">
      <c r="A223" s="2">
        <v>1</v>
      </c>
      <c r="B223" s="2">
        <v>222</v>
      </c>
      <c r="C223" s="38">
        <v>95211101</v>
      </c>
      <c r="D223" s="4"/>
      <c r="E223" s="43" t="s">
        <v>698</v>
      </c>
      <c r="F223" s="2">
        <v>20250731</v>
      </c>
      <c r="G223" s="2">
        <v>20250731</v>
      </c>
      <c r="H223" s="2">
        <v>20250731</v>
      </c>
      <c r="I223" s="44"/>
      <c r="M223" s="40" t="s">
        <v>300</v>
      </c>
      <c r="N223" s="42"/>
      <c r="P223" s="47">
        <v>307030</v>
      </c>
      <c r="R223" s="47" t="s">
        <v>699</v>
      </c>
    </row>
    <row r="224" spans="1:18">
      <c r="A224" s="2">
        <v>1</v>
      </c>
      <c r="B224" s="2">
        <v>223</v>
      </c>
      <c r="C224" s="38">
        <v>95211101</v>
      </c>
      <c r="D224" s="4"/>
      <c r="E224" s="43" t="s">
        <v>698</v>
      </c>
      <c r="F224" s="2">
        <v>20250731</v>
      </c>
      <c r="G224" s="2">
        <v>20250731</v>
      </c>
      <c r="H224" s="2">
        <v>20250731</v>
      </c>
      <c r="I224" s="44"/>
      <c r="M224" s="40" t="s">
        <v>124</v>
      </c>
      <c r="N224" s="42"/>
      <c r="P224" s="47">
        <v>307030</v>
      </c>
      <c r="R224" s="47" t="s">
        <v>699</v>
      </c>
    </row>
    <row r="225" spans="1:18">
      <c r="A225" s="2">
        <v>1</v>
      </c>
      <c r="B225" s="2">
        <v>224</v>
      </c>
      <c r="C225" s="38">
        <v>95211101</v>
      </c>
      <c r="D225" s="4"/>
      <c r="E225" s="43" t="s">
        <v>698</v>
      </c>
      <c r="F225" s="2">
        <v>20250731</v>
      </c>
      <c r="G225" s="2">
        <v>20250731</v>
      </c>
      <c r="H225" s="2">
        <v>20250731</v>
      </c>
      <c r="I225" s="44"/>
      <c r="M225" s="40" t="s">
        <v>301</v>
      </c>
      <c r="N225" s="42"/>
      <c r="P225" s="47">
        <v>307030</v>
      </c>
      <c r="R225" s="47" t="s">
        <v>699</v>
      </c>
    </row>
    <row r="226" spans="1:18">
      <c r="A226" s="2">
        <v>1</v>
      </c>
      <c r="B226" s="2">
        <v>225</v>
      </c>
      <c r="C226" s="38">
        <v>95211101</v>
      </c>
      <c r="D226" s="4"/>
      <c r="E226" s="43" t="s">
        <v>698</v>
      </c>
      <c r="F226" s="2">
        <v>20250731</v>
      </c>
      <c r="G226" s="2">
        <v>20250731</v>
      </c>
      <c r="H226" s="2">
        <v>20250731</v>
      </c>
      <c r="I226" s="44"/>
      <c r="M226" s="40" t="s">
        <v>302</v>
      </c>
      <c r="N226" s="42"/>
      <c r="P226" s="47">
        <v>307030</v>
      </c>
      <c r="R226" s="47" t="s">
        <v>699</v>
      </c>
    </row>
    <row r="227" spans="1:18">
      <c r="A227" s="2">
        <v>1</v>
      </c>
      <c r="B227" s="2">
        <v>226</v>
      </c>
      <c r="C227" s="38">
        <v>95211101</v>
      </c>
      <c r="D227" s="4"/>
      <c r="E227" s="43" t="s">
        <v>698</v>
      </c>
      <c r="F227" s="2">
        <v>20250731</v>
      </c>
      <c r="G227" s="2">
        <v>20250731</v>
      </c>
      <c r="H227" s="2">
        <v>20250731</v>
      </c>
      <c r="I227" s="44"/>
      <c r="M227" s="40" t="s">
        <v>303</v>
      </c>
      <c r="N227" s="42"/>
      <c r="P227" s="47">
        <v>307030</v>
      </c>
      <c r="R227" s="47" t="s">
        <v>699</v>
      </c>
    </row>
    <row r="228" spans="1:18">
      <c r="A228" s="2">
        <v>1</v>
      </c>
      <c r="B228" s="2">
        <v>227</v>
      </c>
      <c r="C228" s="38">
        <v>95211101</v>
      </c>
      <c r="D228" s="4"/>
      <c r="E228" s="43" t="s">
        <v>698</v>
      </c>
      <c r="F228" s="2">
        <v>20250731</v>
      </c>
      <c r="G228" s="2">
        <v>20250731</v>
      </c>
      <c r="H228" s="2">
        <v>20250731</v>
      </c>
      <c r="I228" s="44"/>
      <c r="M228" s="40" t="s">
        <v>304</v>
      </c>
      <c r="N228" s="42"/>
      <c r="P228" s="47">
        <v>307030</v>
      </c>
      <c r="R228" s="47" t="s">
        <v>699</v>
      </c>
    </row>
    <row r="229" spans="1:18">
      <c r="A229" s="2">
        <v>1</v>
      </c>
      <c r="B229" s="2">
        <v>228</v>
      </c>
      <c r="C229" s="38">
        <v>95211101</v>
      </c>
      <c r="D229" s="4"/>
      <c r="E229" s="43" t="s">
        <v>698</v>
      </c>
      <c r="F229" s="2">
        <v>20250731</v>
      </c>
      <c r="G229" s="2">
        <v>20250731</v>
      </c>
      <c r="H229" s="2">
        <v>20250731</v>
      </c>
      <c r="I229" s="44"/>
      <c r="M229" s="40" t="s">
        <v>290</v>
      </c>
      <c r="N229" s="42"/>
      <c r="P229" s="47">
        <v>307030</v>
      </c>
      <c r="R229" s="47" t="s">
        <v>699</v>
      </c>
    </row>
    <row r="230" spans="1:18">
      <c r="A230" s="2">
        <v>1</v>
      </c>
      <c r="B230" s="2">
        <v>229</v>
      </c>
      <c r="C230" s="38">
        <v>95211101</v>
      </c>
      <c r="D230" s="4"/>
      <c r="E230" s="43" t="s">
        <v>698</v>
      </c>
      <c r="F230" s="2">
        <v>20250731</v>
      </c>
      <c r="G230" s="2">
        <v>20250731</v>
      </c>
      <c r="H230" s="2">
        <v>20250731</v>
      </c>
      <c r="I230" s="40" t="s">
        <v>972</v>
      </c>
      <c r="M230" s="40" t="s">
        <v>305</v>
      </c>
      <c r="N230" s="42"/>
      <c r="P230" s="47">
        <v>307030</v>
      </c>
      <c r="R230" s="47" t="s">
        <v>699</v>
      </c>
    </row>
    <row r="231" spans="1:18">
      <c r="A231" s="2">
        <v>1</v>
      </c>
      <c r="B231" s="2">
        <v>230</v>
      </c>
      <c r="C231" s="38">
        <v>95211101</v>
      </c>
      <c r="D231" s="4"/>
      <c r="E231" s="43" t="s">
        <v>698</v>
      </c>
      <c r="F231" s="2">
        <v>20250731</v>
      </c>
      <c r="G231" s="2">
        <v>20250731</v>
      </c>
      <c r="H231" s="2">
        <v>20250731</v>
      </c>
      <c r="I231" s="44"/>
      <c r="M231" s="40" t="s">
        <v>306</v>
      </c>
      <c r="N231" s="42"/>
      <c r="P231" s="47">
        <v>307030</v>
      </c>
      <c r="R231" s="47" t="s">
        <v>699</v>
      </c>
    </row>
    <row r="232" spans="1:18">
      <c r="A232" s="2">
        <v>1</v>
      </c>
      <c r="B232" s="2">
        <v>231</v>
      </c>
      <c r="C232" s="38">
        <v>95211101</v>
      </c>
      <c r="D232" s="4"/>
      <c r="E232" s="43" t="s">
        <v>698</v>
      </c>
      <c r="F232" s="2">
        <v>20250731</v>
      </c>
      <c r="G232" s="2">
        <v>20250731</v>
      </c>
      <c r="H232" s="2">
        <v>20250731</v>
      </c>
      <c r="I232" s="44"/>
      <c r="M232" s="40" t="s">
        <v>292</v>
      </c>
      <c r="N232" s="42"/>
      <c r="P232" s="47">
        <v>307030</v>
      </c>
      <c r="R232" s="47" t="s">
        <v>699</v>
      </c>
    </row>
    <row r="233" spans="1:18">
      <c r="A233" s="2">
        <v>1</v>
      </c>
      <c r="B233" s="2">
        <v>232</v>
      </c>
      <c r="C233" s="38">
        <v>95211101</v>
      </c>
      <c r="D233" s="4"/>
      <c r="E233" s="43" t="s">
        <v>698</v>
      </c>
      <c r="F233" s="2">
        <v>20250731</v>
      </c>
      <c r="G233" s="2">
        <v>20250731</v>
      </c>
      <c r="H233" s="2">
        <v>20250731</v>
      </c>
      <c r="I233" s="44"/>
      <c r="M233" s="40" t="s">
        <v>306</v>
      </c>
      <c r="N233" s="42"/>
      <c r="P233" s="47">
        <v>307030</v>
      </c>
      <c r="R233" s="47" t="s">
        <v>699</v>
      </c>
    </row>
    <row r="234" spans="1:18">
      <c r="A234" s="2">
        <v>1</v>
      </c>
      <c r="B234" s="2">
        <v>233</v>
      </c>
      <c r="C234" s="38">
        <v>95211101</v>
      </c>
      <c r="D234" s="4"/>
      <c r="E234" s="43" t="s">
        <v>698</v>
      </c>
      <c r="F234" s="2">
        <v>20250731</v>
      </c>
      <c r="G234" s="2">
        <v>20250731</v>
      </c>
      <c r="H234" s="2">
        <v>20250731</v>
      </c>
      <c r="I234" s="44"/>
      <c r="M234" s="40" t="s">
        <v>291</v>
      </c>
      <c r="N234" s="42"/>
      <c r="P234" s="47">
        <v>307030</v>
      </c>
      <c r="R234" s="47" t="s">
        <v>699</v>
      </c>
    </row>
    <row r="235" spans="1:18">
      <c r="A235" s="2">
        <v>1</v>
      </c>
      <c r="B235" s="2">
        <v>234</v>
      </c>
      <c r="C235" s="38">
        <v>95211101</v>
      </c>
      <c r="D235" s="4"/>
      <c r="E235" s="43" t="s">
        <v>698</v>
      </c>
      <c r="F235" s="2">
        <v>20250731</v>
      </c>
      <c r="G235" s="2">
        <v>20250731</v>
      </c>
      <c r="H235" s="2">
        <v>20250731</v>
      </c>
      <c r="I235" s="44"/>
      <c r="M235" s="40" t="s">
        <v>307</v>
      </c>
      <c r="N235" s="42"/>
      <c r="P235" s="47">
        <v>307030</v>
      </c>
      <c r="R235" s="47" t="s">
        <v>699</v>
      </c>
    </row>
    <row r="236" spans="1:18">
      <c r="A236" s="2">
        <v>1</v>
      </c>
      <c r="B236" s="2">
        <v>235</v>
      </c>
      <c r="C236" s="38">
        <v>95211101</v>
      </c>
      <c r="D236" s="4"/>
      <c r="E236" s="43" t="s">
        <v>698</v>
      </c>
      <c r="F236" s="2">
        <v>20250731</v>
      </c>
      <c r="G236" s="2">
        <v>20250731</v>
      </c>
      <c r="H236" s="2">
        <v>20250731</v>
      </c>
      <c r="I236" s="44"/>
      <c r="M236" s="40" t="s">
        <v>308</v>
      </c>
      <c r="N236" s="42"/>
      <c r="P236" s="47">
        <v>307030</v>
      </c>
      <c r="R236" s="47" t="s">
        <v>699</v>
      </c>
    </row>
    <row r="237" spans="1:18">
      <c r="A237" s="2">
        <v>1</v>
      </c>
      <c r="B237" s="2">
        <v>236</v>
      </c>
      <c r="C237" s="38">
        <v>95211101</v>
      </c>
      <c r="D237" s="4"/>
      <c r="E237" s="43" t="s">
        <v>698</v>
      </c>
      <c r="F237" s="2">
        <v>20250731</v>
      </c>
      <c r="G237" s="2">
        <v>20250731</v>
      </c>
      <c r="H237" s="2">
        <v>20250731</v>
      </c>
      <c r="I237" s="44"/>
      <c r="M237" s="40" t="s">
        <v>309</v>
      </c>
      <c r="N237" s="42"/>
      <c r="P237" s="47">
        <v>307030</v>
      </c>
      <c r="R237" s="47" t="s">
        <v>699</v>
      </c>
    </row>
    <row r="238" spans="1:18">
      <c r="A238" s="2">
        <v>1</v>
      </c>
      <c r="B238" s="2">
        <v>237</v>
      </c>
      <c r="C238" s="38">
        <v>95211101</v>
      </c>
      <c r="D238" s="4"/>
      <c r="E238" s="43" t="s">
        <v>698</v>
      </c>
      <c r="F238" s="2">
        <v>20250731</v>
      </c>
      <c r="G238" s="2">
        <v>20250731</v>
      </c>
      <c r="H238" s="2">
        <v>20250731</v>
      </c>
      <c r="I238" s="44"/>
      <c r="M238" s="40" t="s">
        <v>119</v>
      </c>
      <c r="N238" s="42"/>
      <c r="P238" s="47">
        <v>307030</v>
      </c>
      <c r="R238" s="47" t="s">
        <v>699</v>
      </c>
    </row>
    <row r="239" spans="1:18">
      <c r="A239" s="2">
        <v>1</v>
      </c>
      <c r="B239" s="2">
        <v>238</v>
      </c>
      <c r="C239" s="38">
        <v>95211101</v>
      </c>
      <c r="D239" s="4"/>
      <c r="E239" s="43" t="s">
        <v>698</v>
      </c>
      <c r="F239" s="2">
        <v>20250731</v>
      </c>
      <c r="G239" s="2">
        <v>20250731</v>
      </c>
      <c r="H239" s="2">
        <v>20250731</v>
      </c>
      <c r="I239" s="40" t="s">
        <v>744</v>
      </c>
      <c r="M239" s="40" t="s">
        <v>310</v>
      </c>
      <c r="N239" s="42"/>
      <c r="P239" s="47">
        <v>307030</v>
      </c>
      <c r="R239" s="47" t="s">
        <v>699</v>
      </c>
    </row>
    <row r="240" spans="1:18">
      <c r="A240" s="2">
        <v>1</v>
      </c>
      <c r="B240" s="2">
        <v>239</v>
      </c>
      <c r="C240" s="38">
        <v>95211101</v>
      </c>
      <c r="D240" s="4"/>
      <c r="E240" s="43" t="s">
        <v>698</v>
      </c>
      <c r="F240" s="2">
        <v>20250731</v>
      </c>
      <c r="G240" s="2">
        <v>20250731</v>
      </c>
      <c r="H240" s="2">
        <v>20250731</v>
      </c>
      <c r="I240" s="44"/>
      <c r="M240" s="40" t="s">
        <v>311</v>
      </c>
      <c r="N240" s="42"/>
      <c r="P240" s="47">
        <v>307030</v>
      </c>
      <c r="R240" s="47" t="s">
        <v>699</v>
      </c>
    </row>
    <row r="241" spans="1:18">
      <c r="A241" s="2">
        <v>1</v>
      </c>
      <c r="B241" s="2">
        <v>240</v>
      </c>
      <c r="C241" s="38">
        <v>95211101</v>
      </c>
      <c r="D241" s="4"/>
      <c r="E241" s="43" t="s">
        <v>698</v>
      </c>
      <c r="F241" s="2">
        <v>20250731</v>
      </c>
      <c r="G241" s="2">
        <v>20250731</v>
      </c>
      <c r="H241" s="2">
        <v>20250731</v>
      </c>
      <c r="I241" s="44"/>
      <c r="M241" s="40" t="s">
        <v>128</v>
      </c>
      <c r="N241" s="42"/>
      <c r="P241" s="47">
        <v>307030</v>
      </c>
      <c r="R241" s="47" t="s">
        <v>699</v>
      </c>
    </row>
    <row r="242" spans="1:18">
      <c r="A242" s="2">
        <v>1</v>
      </c>
      <c r="B242" s="2">
        <v>241</v>
      </c>
      <c r="C242" s="38">
        <v>95211101</v>
      </c>
      <c r="D242" s="4"/>
      <c r="E242" s="43" t="s">
        <v>698</v>
      </c>
      <c r="F242" s="2">
        <v>20250731</v>
      </c>
      <c r="G242" s="2">
        <v>20250731</v>
      </c>
      <c r="H242" s="2">
        <v>20250731</v>
      </c>
      <c r="I242" s="44"/>
      <c r="M242" s="40" t="s">
        <v>127</v>
      </c>
      <c r="N242" s="42"/>
      <c r="P242" s="47">
        <v>307030</v>
      </c>
      <c r="R242" s="47" t="s">
        <v>699</v>
      </c>
    </row>
    <row r="243" spans="1:18">
      <c r="A243" s="2">
        <v>1</v>
      </c>
      <c r="B243" s="2">
        <v>242</v>
      </c>
      <c r="C243" s="38">
        <v>95211101</v>
      </c>
      <c r="D243" s="4"/>
      <c r="E243" s="43" t="s">
        <v>698</v>
      </c>
      <c r="F243" s="2">
        <v>20250731</v>
      </c>
      <c r="G243" s="2">
        <v>20250731</v>
      </c>
      <c r="H243" s="2">
        <v>20250731</v>
      </c>
      <c r="I243" s="44"/>
      <c r="M243" s="40" t="s">
        <v>312</v>
      </c>
      <c r="N243" s="42"/>
      <c r="P243" s="47">
        <v>307030</v>
      </c>
      <c r="R243" s="47" t="s">
        <v>699</v>
      </c>
    </row>
    <row r="244" spans="1:18">
      <c r="A244" s="2">
        <v>1</v>
      </c>
      <c r="B244" s="2">
        <v>243</v>
      </c>
      <c r="C244" s="38">
        <v>95211101</v>
      </c>
      <c r="D244" s="4"/>
      <c r="E244" s="43" t="s">
        <v>698</v>
      </c>
      <c r="F244" s="2">
        <v>20250731</v>
      </c>
      <c r="G244" s="2">
        <v>20250731</v>
      </c>
      <c r="H244" s="2">
        <v>20250731</v>
      </c>
      <c r="I244" s="44"/>
      <c r="M244" s="40" t="s">
        <v>129</v>
      </c>
      <c r="N244" s="42"/>
      <c r="P244" s="47">
        <v>307030</v>
      </c>
      <c r="R244" s="47" t="s">
        <v>699</v>
      </c>
    </row>
    <row r="245" spans="1:18">
      <c r="A245" s="2">
        <v>1</v>
      </c>
      <c r="B245" s="2">
        <v>244</v>
      </c>
      <c r="C245" s="38">
        <v>95211101</v>
      </c>
      <c r="D245" s="4"/>
      <c r="E245" s="43" t="s">
        <v>698</v>
      </c>
      <c r="F245" s="2">
        <v>20250731</v>
      </c>
      <c r="G245" s="2">
        <v>20250731</v>
      </c>
      <c r="H245" s="2">
        <v>20250731</v>
      </c>
      <c r="I245" s="44"/>
      <c r="M245" s="40" t="s">
        <v>128</v>
      </c>
      <c r="N245" s="42"/>
      <c r="P245" s="47">
        <v>307030</v>
      </c>
      <c r="R245" s="47" t="s">
        <v>699</v>
      </c>
    </row>
    <row r="246" spans="1:18">
      <c r="A246" s="2">
        <v>1</v>
      </c>
      <c r="B246" s="2">
        <v>245</v>
      </c>
      <c r="C246" s="38">
        <v>95211101</v>
      </c>
      <c r="D246" s="4"/>
      <c r="E246" s="43" t="s">
        <v>698</v>
      </c>
      <c r="F246" s="2">
        <v>20250731</v>
      </c>
      <c r="G246" s="2">
        <v>20250731</v>
      </c>
      <c r="H246" s="2">
        <v>20250731</v>
      </c>
      <c r="I246" s="44"/>
      <c r="M246" s="40" t="s">
        <v>313</v>
      </c>
      <c r="N246" s="42"/>
      <c r="P246" s="47">
        <v>307030</v>
      </c>
      <c r="R246" s="47" t="s">
        <v>699</v>
      </c>
    </row>
    <row r="247" spans="1:18">
      <c r="A247" s="2">
        <v>1</v>
      </c>
      <c r="B247" s="2">
        <v>246</v>
      </c>
      <c r="C247" s="38">
        <v>95211101</v>
      </c>
      <c r="D247" s="4"/>
      <c r="E247" s="43" t="s">
        <v>698</v>
      </c>
      <c r="F247" s="2">
        <v>20250731</v>
      </c>
      <c r="G247" s="2">
        <v>20250731</v>
      </c>
      <c r="H247" s="2">
        <v>20250731</v>
      </c>
      <c r="I247" s="44"/>
      <c r="M247" s="40" t="s">
        <v>128</v>
      </c>
      <c r="N247" s="42"/>
      <c r="P247" s="47">
        <v>307030</v>
      </c>
      <c r="R247" s="47" t="s">
        <v>699</v>
      </c>
    </row>
    <row r="248" spans="1:18">
      <c r="A248" s="2">
        <v>1</v>
      </c>
      <c r="B248" s="2">
        <v>247</v>
      </c>
      <c r="C248" s="38">
        <v>95211101</v>
      </c>
      <c r="D248" s="4"/>
      <c r="E248" s="43" t="s">
        <v>698</v>
      </c>
      <c r="F248" s="2">
        <v>20250731</v>
      </c>
      <c r="G248" s="2">
        <v>20250731</v>
      </c>
      <c r="H248" s="2">
        <v>20250731</v>
      </c>
      <c r="I248" s="44"/>
      <c r="M248" s="40" t="s">
        <v>119</v>
      </c>
      <c r="N248" s="42"/>
      <c r="P248" s="47">
        <v>307030</v>
      </c>
      <c r="R248" s="47" t="s">
        <v>699</v>
      </c>
    </row>
    <row r="249" spans="1:18">
      <c r="A249" s="2">
        <v>1</v>
      </c>
      <c r="B249" s="2">
        <v>248</v>
      </c>
      <c r="C249" s="38">
        <v>95211101</v>
      </c>
      <c r="D249" s="4"/>
      <c r="E249" s="43" t="s">
        <v>698</v>
      </c>
      <c r="F249" s="2">
        <v>20250731</v>
      </c>
      <c r="G249" s="2">
        <v>20250731</v>
      </c>
      <c r="H249" s="2">
        <v>20250731</v>
      </c>
      <c r="I249" s="44"/>
      <c r="M249" s="40" t="s">
        <v>314</v>
      </c>
      <c r="N249" s="42"/>
      <c r="P249" s="47">
        <v>307030</v>
      </c>
      <c r="R249" s="47" t="s">
        <v>699</v>
      </c>
    </row>
    <row r="250" spans="1:18">
      <c r="A250" s="2">
        <v>1</v>
      </c>
      <c r="B250" s="2">
        <v>249</v>
      </c>
      <c r="C250" s="38">
        <v>95211101</v>
      </c>
      <c r="D250" s="4"/>
      <c r="E250" s="43" t="s">
        <v>698</v>
      </c>
      <c r="F250" s="2">
        <v>20250731</v>
      </c>
      <c r="G250" s="2">
        <v>20250731</v>
      </c>
      <c r="H250" s="2">
        <v>20250731</v>
      </c>
      <c r="I250" s="44"/>
      <c r="M250" s="40" t="s">
        <v>315</v>
      </c>
      <c r="N250" s="42"/>
      <c r="P250" s="47">
        <v>307030</v>
      </c>
      <c r="R250" s="47" t="s">
        <v>699</v>
      </c>
    </row>
    <row r="251" spans="1:18">
      <c r="A251" s="2">
        <v>1</v>
      </c>
      <c r="B251" s="2">
        <v>250</v>
      </c>
      <c r="C251" s="38">
        <v>95211101</v>
      </c>
      <c r="D251" s="4"/>
      <c r="E251" s="43" t="s">
        <v>698</v>
      </c>
      <c r="F251" s="2">
        <v>20250731</v>
      </c>
      <c r="G251" s="2">
        <v>20250731</v>
      </c>
      <c r="H251" s="2">
        <v>20250731</v>
      </c>
      <c r="I251" s="44"/>
      <c r="M251" s="40" t="s">
        <v>316</v>
      </c>
      <c r="N251" s="42"/>
      <c r="P251" s="47">
        <v>307030</v>
      </c>
      <c r="R251" s="47" t="s">
        <v>699</v>
      </c>
    </row>
    <row r="252" spans="1:18">
      <c r="A252" s="2">
        <v>1</v>
      </c>
      <c r="B252" s="2">
        <v>251</v>
      </c>
      <c r="C252" s="38">
        <v>95211101</v>
      </c>
      <c r="D252" s="4"/>
      <c r="E252" s="43" t="s">
        <v>698</v>
      </c>
      <c r="F252" s="2">
        <v>20250731</v>
      </c>
      <c r="G252" s="2">
        <v>20250731</v>
      </c>
      <c r="H252" s="2">
        <v>20250731</v>
      </c>
      <c r="I252" s="44"/>
      <c r="M252" s="40" t="s">
        <v>317</v>
      </c>
      <c r="N252" s="42"/>
      <c r="P252" s="47">
        <v>307030</v>
      </c>
      <c r="R252" s="47" t="s">
        <v>699</v>
      </c>
    </row>
    <row r="253" spans="1:18">
      <c r="A253" s="2">
        <v>1</v>
      </c>
      <c r="B253" s="2">
        <v>252</v>
      </c>
      <c r="C253" s="38">
        <v>95211101</v>
      </c>
      <c r="D253" s="4"/>
      <c r="E253" s="43" t="s">
        <v>698</v>
      </c>
      <c r="F253" s="2">
        <v>20250731</v>
      </c>
      <c r="G253" s="2">
        <v>20250731</v>
      </c>
      <c r="H253" s="2">
        <v>20250731</v>
      </c>
      <c r="I253" s="44"/>
      <c r="M253" s="40" t="s">
        <v>318</v>
      </c>
      <c r="N253" s="42"/>
      <c r="P253" s="47">
        <v>307030</v>
      </c>
      <c r="R253" s="47" t="s">
        <v>699</v>
      </c>
    </row>
    <row r="254" spans="1:18">
      <c r="A254" s="2">
        <v>1</v>
      </c>
      <c r="B254" s="2">
        <v>253</v>
      </c>
      <c r="C254" s="38">
        <v>95211101</v>
      </c>
      <c r="D254" s="4"/>
      <c r="E254" s="43" t="s">
        <v>698</v>
      </c>
      <c r="F254" s="2">
        <v>20250731</v>
      </c>
      <c r="G254" s="2">
        <v>20250731</v>
      </c>
      <c r="H254" s="2">
        <v>20250731</v>
      </c>
      <c r="I254" s="44"/>
      <c r="M254" s="40" t="s">
        <v>319</v>
      </c>
      <c r="N254" s="42"/>
      <c r="P254" s="47">
        <v>307030</v>
      </c>
      <c r="R254" s="47" t="s">
        <v>699</v>
      </c>
    </row>
    <row r="255" spans="1:18">
      <c r="A255" s="2">
        <v>1</v>
      </c>
      <c r="B255" s="2">
        <v>254</v>
      </c>
      <c r="C255" s="38">
        <v>95211101</v>
      </c>
      <c r="D255" s="4"/>
      <c r="E255" s="43" t="s">
        <v>698</v>
      </c>
      <c r="F255" s="2">
        <v>20250731</v>
      </c>
      <c r="G255" s="2">
        <v>20250731</v>
      </c>
      <c r="H255" s="2">
        <v>20250731</v>
      </c>
      <c r="I255" s="44"/>
      <c r="M255" s="40" t="s">
        <v>320</v>
      </c>
      <c r="N255" s="42"/>
      <c r="P255" s="47">
        <v>307030</v>
      </c>
      <c r="R255" s="47" t="s">
        <v>699</v>
      </c>
    </row>
    <row r="256" spans="1:18">
      <c r="A256" s="2">
        <v>1</v>
      </c>
      <c r="B256" s="2">
        <v>255</v>
      </c>
      <c r="C256" s="38">
        <v>95211101</v>
      </c>
      <c r="D256" s="4"/>
      <c r="E256" s="43" t="s">
        <v>698</v>
      </c>
      <c r="F256" s="2">
        <v>20250731</v>
      </c>
      <c r="G256" s="2">
        <v>20250731</v>
      </c>
      <c r="H256" s="2">
        <v>20250731</v>
      </c>
      <c r="I256" s="44"/>
      <c r="M256" s="40" t="s">
        <v>321</v>
      </c>
      <c r="N256" s="42"/>
      <c r="P256" s="47">
        <v>307030</v>
      </c>
      <c r="R256" s="47" t="s">
        <v>699</v>
      </c>
    </row>
    <row r="257" spans="1:18">
      <c r="A257" s="2">
        <v>1</v>
      </c>
      <c r="B257" s="2">
        <v>256</v>
      </c>
      <c r="C257" s="38">
        <v>95211101</v>
      </c>
      <c r="D257" s="4"/>
      <c r="E257" s="43" t="s">
        <v>698</v>
      </c>
      <c r="F257" s="2">
        <v>20250731</v>
      </c>
      <c r="G257" s="2">
        <v>20250731</v>
      </c>
      <c r="H257" s="2">
        <v>20250731</v>
      </c>
      <c r="I257" s="44"/>
      <c r="M257" s="40" t="s">
        <v>322</v>
      </c>
      <c r="N257" s="42"/>
      <c r="P257" s="47">
        <v>307030</v>
      </c>
      <c r="R257" s="47" t="s">
        <v>699</v>
      </c>
    </row>
    <row r="258" spans="1:18">
      <c r="A258" s="2">
        <v>1</v>
      </c>
      <c r="B258" s="2">
        <v>257</v>
      </c>
      <c r="C258" s="38">
        <v>95211101</v>
      </c>
      <c r="D258" s="4"/>
      <c r="E258" s="43" t="s">
        <v>698</v>
      </c>
      <c r="F258" s="2">
        <v>20250731</v>
      </c>
      <c r="G258" s="2">
        <v>20250731</v>
      </c>
      <c r="H258" s="2">
        <v>20250731</v>
      </c>
      <c r="I258" s="40" t="s">
        <v>1078</v>
      </c>
      <c r="M258" s="40" t="s">
        <v>323</v>
      </c>
      <c r="N258" s="42"/>
      <c r="P258" s="47">
        <v>307030</v>
      </c>
      <c r="R258" s="47" t="s">
        <v>699</v>
      </c>
    </row>
    <row r="259" spans="1:18" ht="14.4">
      <c r="A259" s="2">
        <v>1</v>
      </c>
      <c r="B259" s="2">
        <v>258</v>
      </c>
      <c r="C259" s="38">
        <v>95211101</v>
      </c>
      <c r="D259" s="4"/>
      <c r="E259" s="43" t="s">
        <v>698</v>
      </c>
      <c r="F259" s="2">
        <v>20250731</v>
      </c>
      <c r="G259" s="2">
        <v>20250731</v>
      </c>
      <c r="H259" s="2">
        <v>20250731</v>
      </c>
      <c r="I259" s="44"/>
      <c r="M259" s="39"/>
      <c r="N259" s="41" t="s">
        <v>697</v>
      </c>
      <c r="P259" s="47">
        <v>307030</v>
      </c>
      <c r="R259" s="47" t="s">
        <v>699</v>
      </c>
    </row>
    <row r="260" spans="1:18">
      <c r="A260" s="2">
        <v>1</v>
      </c>
      <c r="B260" s="2">
        <v>259</v>
      </c>
      <c r="C260" s="38">
        <v>95211101</v>
      </c>
      <c r="D260" s="4"/>
      <c r="E260" s="43" t="s">
        <v>698</v>
      </c>
      <c r="F260" s="2">
        <v>20250731</v>
      </c>
      <c r="G260" s="2">
        <v>20250731</v>
      </c>
      <c r="H260" s="2">
        <v>20250731</v>
      </c>
      <c r="I260" s="44"/>
      <c r="M260" s="40" t="s">
        <v>324</v>
      </c>
      <c r="N260" s="42"/>
      <c r="P260" s="47">
        <v>307030</v>
      </c>
      <c r="R260" s="47" t="s">
        <v>699</v>
      </c>
    </row>
    <row r="261" spans="1:18">
      <c r="A261" s="2">
        <v>1</v>
      </c>
      <c r="B261" s="2">
        <v>260</v>
      </c>
      <c r="C261" s="38">
        <v>95211101</v>
      </c>
      <c r="D261" s="4"/>
      <c r="E261" s="43" t="s">
        <v>698</v>
      </c>
      <c r="F261" s="2">
        <v>20250731</v>
      </c>
      <c r="G261" s="2">
        <v>20250731</v>
      </c>
      <c r="H261" s="2">
        <v>20250731</v>
      </c>
      <c r="I261" s="44"/>
      <c r="M261" s="40" t="s">
        <v>325</v>
      </c>
      <c r="N261" s="42"/>
      <c r="P261" s="47">
        <v>307030</v>
      </c>
      <c r="R261" s="47" t="s">
        <v>699</v>
      </c>
    </row>
    <row r="262" spans="1:18">
      <c r="A262" s="2">
        <v>1</v>
      </c>
      <c r="B262" s="2">
        <v>261</v>
      </c>
      <c r="C262" s="38">
        <v>95211101</v>
      </c>
      <c r="D262" s="4"/>
      <c r="E262" s="43" t="s">
        <v>698</v>
      </c>
      <c r="F262" s="2">
        <v>20250731</v>
      </c>
      <c r="G262" s="2">
        <v>20250731</v>
      </c>
      <c r="H262" s="2">
        <v>20250731</v>
      </c>
      <c r="I262" s="44"/>
      <c r="M262" s="40" t="s">
        <v>128</v>
      </c>
      <c r="N262" s="42"/>
      <c r="P262" s="47">
        <v>307030</v>
      </c>
      <c r="R262" s="47" t="s">
        <v>699</v>
      </c>
    </row>
    <row r="263" spans="1:18">
      <c r="A263" s="2">
        <v>1</v>
      </c>
      <c r="B263" s="2">
        <v>262</v>
      </c>
      <c r="C263" s="38">
        <v>95211101</v>
      </c>
      <c r="D263" s="4"/>
      <c r="E263" s="43" t="s">
        <v>698</v>
      </c>
      <c r="F263" s="2">
        <v>20250731</v>
      </c>
      <c r="G263" s="2">
        <v>20250731</v>
      </c>
      <c r="H263" s="2">
        <v>20250731</v>
      </c>
      <c r="I263" s="44"/>
      <c r="M263" s="40" t="s">
        <v>297</v>
      </c>
      <c r="N263" s="42"/>
      <c r="P263" s="47">
        <v>307030</v>
      </c>
      <c r="R263" s="47" t="s">
        <v>699</v>
      </c>
    </row>
    <row r="264" spans="1:18">
      <c r="A264" s="2">
        <v>1</v>
      </c>
      <c r="B264" s="2">
        <v>263</v>
      </c>
      <c r="C264" s="38">
        <v>95211101</v>
      </c>
      <c r="D264" s="4"/>
      <c r="E264" s="43" t="s">
        <v>698</v>
      </c>
      <c r="F264" s="2">
        <v>20250731</v>
      </c>
      <c r="G264" s="2">
        <v>20250731</v>
      </c>
      <c r="H264" s="2">
        <v>20250731</v>
      </c>
      <c r="I264" s="44"/>
      <c r="M264" s="40" t="s">
        <v>326</v>
      </c>
      <c r="N264" s="42"/>
      <c r="P264" s="47">
        <v>307030</v>
      </c>
      <c r="R264" s="47" t="s">
        <v>699</v>
      </c>
    </row>
    <row r="265" spans="1:18">
      <c r="A265" s="2">
        <v>1</v>
      </c>
      <c r="B265" s="2">
        <v>264</v>
      </c>
      <c r="C265" s="38">
        <v>95211101</v>
      </c>
      <c r="D265" s="4"/>
      <c r="E265" s="43" t="s">
        <v>698</v>
      </c>
      <c r="F265" s="2">
        <v>20250731</v>
      </c>
      <c r="G265" s="2">
        <v>20250731</v>
      </c>
      <c r="H265" s="2">
        <v>20250731</v>
      </c>
      <c r="I265" s="44"/>
      <c r="M265" s="40" t="s">
        <v>137</v>
      </c>
      <c r="N265" s="42"/>
      <c r="P265" s="47">
        <v>307030</v>
      </c>
      <c r="R265" s="47" t="s">
        <v>699</v>
      </c>
    </row>
    <row r="266" spans="1:18">
      <c r="A266" s="2">
        <v>1</v>
      </c>
      <c r="B266" s="2">
        <v>265</v>
      </c>
      <c r="C266" s="38">
        <v>95211101</v>
      </c>
      <c r="D266" s="4"/>
      <c r="E266" s="43" t="s">
        <v>698</v>
      </c>
      <c r="F266" s="2">
        <v>20250731</v>
      </c>
      <c r="G266" s="2">
        <v>20250731</v>
      </c>
      <c r="H266" s="2">
        <v>20250731</v>
      </c>
      <c r="I266" s="44"/>
      <c r="M266" s="40" t="s">
        <v>327</v>
      </c>
      <c r="N266" s="42"/>
      <c r="P266" s="47">
        <v>307030</v>
      </c>
      <c r="R266" s="47" t="s">
        <v>699</v>
      </c>
    </row>
    <row r="267" spans="1:18">
      <c r="A267" s="2">
        <v>1</v>
      </c>
      <c r="B267" s="2">
        <v>266</v>
      </c>
      <c r="C267" s="38">
        <v>95211101</v>
      </c>
      <c r="D267" s="4"/>
      <c r="E267" s="43" t="s">
        <v>698</v>
      </c>
      <c r="F267" s="2">
        <v>20250731</v>
      </c>
      <c r="G267" s="2">
        <v>20250731</v>
      </c>
      <c r="H267" s="2">
        <v>20250731</v>
      </c>
      <c r="I267" s="44"/>
      <c r="M267" s="40" t="s">
        <v>328</v>
      </c>
      <c r="N267" s="42"/>
      <c r="P267" s="47">
        <v>307030</v>
      </c>
      <c r="R267" s="47" t="s">
        <v>699</v>
      </c>
    </row>
    <row r="268" spans="1:18">
      <c r="A268" s="2">
        <v>1</v>
      </c>
      <c r="B268" s="2">
        <v>267</v>
      </c>
      <c r="C268" s="38">
        <v>95211101</v>
      </c>
      <c r="D268" s="4"/>
      <c r="E268" s="43" t="s">
        <v>698</v>
      </c>
      <c r="F268" s="2">
        <v>20250731</v>
      </c>
      <c r="G268" s="2">
        <v>20250731</v>
      </c>
      <c r="H268" s="2">
        <v>20250731</v>
      </c>
      <c r="I268" s="44"/>
      <c r="M268" s="40" t="s">
        <v>329</v>
      </c>
      <c r="N268" s="42"/>
      <c r="P268" s="47">
        <v>307030</v>
      </c>
      <c r="R268" s="47" t="s">
        <v>699</v>
      </c>
    </row>
    <row r="269" spans="1:18">
      <c r="A269" s="2">
        <v>1</v>
      </c>
      <c r="B269" s="2">
        <v>268</v>
      </c>
      <c r="C269" s="38">
        <v>95211101</v>
      </c>
      <c r="D269" s="4"/>
      <c r="E269" s="43" t="s">
        <v>698</v>
      </c>
      <c r="F269" s="2">
        <v>20250731</v>
      </c>
      <c r="G269" s="2">
        <v>20250731</v>
      </c>
      <c r="H269" s="2">
        <v>20250731</v>
      </c>
      <c r="I269" s="44"/>
      <c r="M269" s="40" t="s">
        <v>330</v>
      </c>
      <c r="N269" s="42"/>
      <c r="P269" s="47">
        <v>307030</v>
      </c>
      <c r="R269" s="47" t="s">
        <v>699</v>
      </c>
    </row>
    <row r="270" spans="1:18">
      <c r="A270" s="2">
        <v>1</v>
      </c>
      <c r="B270" s="2">
        <v>269</v>
      </c>
      <c r="C270" s="38">
        <v>95211101</v>
      </c>
      <c r="D270" s="4"/>
      <c r="E270" s="43" t="s">
        <v>698</v>
      </c>
      <c r="F270" s="2">
        <v>20250731</v>
      </c>
      <c r="G270" s="2">
        <v>20250731</v>
      </c>
      <c r="H270" s="2">
        <v>20250731</v>
      </c>
      <c r="I270" s="44"/>
      <c r="M270" s="40" t="s">
        <v>134</v>
      </c>
      <c r="N270" s="42"/>
      <c r="P270" s="47">
        <v>307030</v>
      </c>
      <c r="R270" s="47" t="s">
        <v>699</v>
      </c>
    </row>
    <row r="271" spans="1:18">
      <c r="A271" s="2">
        <v>1</v>
      </c>
      <c r="B271" s="2">
        <v>270</v>
      </c>
      <c r="C271" s="38">
        <v>95211101</v>
      </c>
      <c r="D271" s="4"/>
      <c r="E271" s="43" t="s">
        <v>698</v>
      </c>
      <c r="F271" s="2">
        <v>20250731</v>
      </c>
      <c r="G271" s="2">
        <v>20250731</v>
      </c>
      <c r="H271" s="2">
        <v>20250731</v>
      </c>
      <c r="I271" s="44"/>
      <c r="M271" s="40" t="s">
        <v>134</v>
      </c>
      <c r="N271" s="42"/>
      <c r="P271" s="47">
        <v>307030</v>
      </c>
      <c r="R271" s="47" t="s">
        <v>699</v>
      </c>
    </row>
    <row r="272" spans="1:18">
      <c r="A272" s="2">
        <v>1</v>
      </c>
      <c r="B272" s="2">
        <v>271</v>
      </c>
      <c r="C272" s="38">
        <v>95211101</v>
      </c>
      <c r="D272" s="4"/>
      <c r="E272" s="43" t="s">
        <v>698</v>
      </c>
      <c r="F272" s="2">
        <v>20250731</v>
      </c>
      <c r="G272" s="2">
        <v>20250731</v>
      </c>
      <c r="H272" s="2">
        <v>20250731</v>
      </c>
      <c r="I272" s="44"/>
      <c r="M272" s="40" t="s">
        <v>331</v>
      </c>
      <c r="N272" s="42"/>
      <c r="P272" s="47">
        <v>307030</v>
      </c>
      <c r="R272" s="47" t="s">
        <v>699</v>
      </c>
    </row>
    <row r="273" spans="1:18">
      <c r="A273" s="2">
        <v>1</v>
      </c>
      <c r="B273" s="2">
        <v>272</v>
      </c>
      <c r="C273" s="38">
        <v>95211101</v>
      </c>
      <c r="D273" s="4"/>
      <c r="E273" s="43" t="s">
        <v>698</v>
      </c>
      <c r="F273" s="2">
        <v>20250731</v>
      </c>
      <c r="G273" s="2">
        <v>20250731</v>
      </c>
      <c r="H273" s="2">
        <v>20250731</v>
      </c>
      <c r="I273" s="44"/>
      <c r="M273" s="40" t="s">
        <v>332</v>
      </c>
      <c r="N273" s="42"/>
      <c r="P273" s="47">
        <v>307030</v>
      </c>
      <c r="R273" s="47" t="s">
        <v>699</v>
      </c>
    </row>
    <row r="274" spans="1:18">
      <c r="A274" s="2">
        <v>1</v>
      </c>
      <c r="B274" s="2">
        <v>273</v>
      </c>
      <c r="C274" s="38">
        <v>95211101</v>
      </c>
      <c r="D274" s="4"/>
      <c r="E274" s="43" t="s">
        <v>698</v>
      </c>
      <c r="F274" s="2">
        <v>20250731</v>
      </c>
      <c r="G274" s="2">
        <v>20250731</v>
      </c>
      <c r="H274" s="2">
        <v>20250731</v>
      </c>
      <c r="I274" s="44"/>
      <c r="M274" s="40" t="s">
        <v>124</v>
      </c>
      <c r="N274" s="42"/>
      <c r="P274" s="47">
        <v>307030</v>
      </c>
      <c r="R274" s="47" t="s">
        <v>699</v>
      </c>
    </row>
    <row r="275" spans="1:18">
      <c r="A275" s="2">
        <v>1</v>
      </c>
      <c r="B275" s="2">
        <v>274</v>
      </c>
      <c r="C275" s="38">
        <v>95211101</v>
      </c>
      <c r="D275" s="4"/>
      <c r="E275" s="43" t="s">
        <v>698</v>
      </c>
      <c r="F275" s="2">
        <v>20250731</v>
      </c>
      <c r="G275" s="2">
        <v>20250731</v>
      </c>
      <c r="H275" s="2">
        <v>20250731</v>
      </c>
      <c r="I275" s="44"/>
      <c r="M275" s="40" t="s">
        <v>333</v>
      </c>
      <c r="N275" s="42"/>
      <c r="P275" s="47">
        <v>307030</v>
      </c>
      <c r="R275" s="47" t="s">
        <v>699</v>
      </c>
    </row>
    <row r="276" spans="1:18">
      <c r="A276" s="2">
        <v>1</v>
      </c>
      <c r="B276" s="2">
        <v>275</v>
      </c>
      <c r="C276" s="38">
        <v>95211102</v>
      </c>
      <c r="D276" s="4"/>
      <c r="E276" s="43" t="s">
        <v>698</v>
      </c>
      <c r="F276" s="2">
        <v>20250731</v>
      </c>
      <c r="G276" s="2">
        <v>20250731</v>
      </c>
      <c r="H276" s="2">
        <v>20250731</v>
      </c>
      <c r="I276" s="44"/>
      <c r="M276" s="40" t="s">
        <v>334</v>
      </c>
      <c r="N276" s="42"/>
      <c r="P276" s="47">
        <v>307030</v>
      </c>
      <c r="R276" s="47" t="s">
        <v>699</v>
      </c>
    </row>
    <row r="277" spans="1:18">
      <c r="A277" s="2">
        <v>1</v>
      </c>
      <c r="B277" s="2">
        <v>276</v>
      </c>
      <c r="C277" s="38">
        <v>95211102</v>
      </c>
      <c r="D277" s="4"/>
      <c r="E277" s="43" t="s">
        <v>698</v>
      </c>
      <c r="F277" s="2">
        <v>20250731</v>
      </c>
      <c r="G277" s="2">
        <v>20250731</v>
      </c>
      <c r="H277" s="2">
        <v>20250731</v>
      </c>
      <c r="I277" s="44"/>
      <c r="M277" s="40" t="s">
        <v>150</v>
      </c>
      <c r="N277" s="42"/>
      <c r="P277" s="47">
        <v>307030</v>
      </c>
      <c r="R277" s="47" t="s">
        <v>699</v>
      </c>
    </row>
    <row r="278" spans="1:18">
      <c r="A278" s="2">
        <v>1</v>
      </c>
      <c r="B278" s="2">
        <v>277</v>
      </c>
      <c r="C278" s="38">
        <v>95211102</v>
      </c>
      <c r="D278" s="4"/>
      <c r="E278" s="43" t="s">
        <v>698</v>
      </c>
      <c r="F278" s="2">
        <v>20250731</v>
      </c>
      <c r="G278" s="2">
        <v>20250731</v>
      </c>
      <c r="H278" s="2">
        <v>20250731</v>
      </c>
      <c r="I278" s="44"/>
      <c r="M278" s="40" t="s">
        <v>152</v>
      </c>
      <c r="N278" s="42"/>
      <c r="P278" s="47">
        <v>307030</v>
      </c>
      <c r="R278" s="47" t="s">
        <v>699</v>
      </c>
    </row>
    <row r="279" spans="1:18">
      <c r="A279" s="2">
        <v>1</v>
      </c>
      <c r="B279" s="2">
        <v>278</v>
      </c>
      <c r="C279" s="38">
        <v>95211102</v>
      </c>
      <c r="D279" s="4"/>
      <c r="E279" s="43" t="s">
        <v>698</v>
      </c>
      <c r="F279" s="2">
        <v>20250731</v>
      </c>
      <c r="G279" s="2">
        <v>20250731</v>
      </c>
      <c r="H279" s="2">
        <v>20250731</v>
      </c>
      <c r="I279" s="44"/>
      <c r="M279" s="40" t="s">
        <v>140</v>
      </c>
      <c r="N279" s="42"/>
      <c r="P279" s="47">
        <v>307030</v>
      </c>
      <c r="R279" s="47" t="s">
        <v>699</v>
      </c>
    </row>
    <row r="280" spans="1:18">
      <c r="A280" s="2">
        <v>1</v>
      </c>
      <c r="B280" s="2">
        <v>279</v>
      </c>
      <c r="C280" s="38">
        <v>95211102</v>
      </c>
      <c r="D280" s="4"/>
      <c r="E280" s="43" t="s">
        <v>698</v>
      </c>
      <c r="F280" s="2">
        <v>20250731</v>
      </c>
      <c r="G280" s="2">
        <v>20250731</v>
      </c>
      <c r="H280" s="2">
        <v>20250731</v>
      </c>
      <c r="I280" s="44"/>
      <c r="M280" s="40" t="s">
        <v>335</v>
      </c>
      <c r="N280" s="42"/>
      <c r="P280" s="47">
        <v>307030</v>
      </c>
      <c r="R280" s="47" t="s">
        <v>699</v>
      </c>
    </row>
    <row r="281" spans="1:18">
      <c r="A281" s="2">
        <v>1</v>
      </c>
      <c r="B281" s="2">
        <v>280</v>
      </c>
      <c r="C281" s="38">
        <v>95211102</v>
      </c>
      <c r="D281" s="4"/>
      <c r="E281" s="43" t="s">
        <v>698</v>
      </c>
      <c r="F281" s="2">
        <v>20250731</v>
      </c>
      <c r="G281" s="2">
        <v>20250731</v>
      </c>
      <c r="H281" s="2">
        <v>20250731</v>
      </c>
      <c r="I281" s="44"/>
      <c r="M281" s="40" t="s">
        <v>130</v>
      </c>
      <c r="N281" s="42"/>
      <c r="P281" s="47">
        <v>307030</v>
      </c>
      <c r="R281" s="47" t="s">
        <v>699</v>
      </c>
    </row>
    <row r="282" spans="1:18">
      <c r="A282" s="2">
        <v>1</v>
      </c>
      <c r="B282" s="2">
        <v>281</v>
      </c>
      <c r="C282" s="38">
        <v>95211102</v>
      </c>
      <c r="D282" s="4"/>
      <c r="E282" s="43" t="s">
        <v>698</v>
      </c>
      <c r="F282" s="2">
        <v>20250731</v>
      </c>
      <c r="G282" s="2">
        <v>20250731</v>
      </c>
      <c r="H282" s="2">
        <v>20250731</v>
      </c>
      <c r="I282" s="44"/>
      <c r="M282" s="40" t="s">
        <v>116</v>
      </c>
      <c r="N282" s="42"/>
      <c r="P282" s="47">
        <v>307030</v>
      </c>
      <c r="R282" s="47" t="s">
        <v>699</v>
      </c>
    </row>
    <row r="283" spans="1:18">
      <c r="A283" s="2">
        <v>1</v>
      </c>
      <c r="B283" s="2">
        <v>282</v>
      </c>
      <c r="C283" s="38">
        <v>95211102</v>
      </c>
      <c r="D283" s="4"/>
      <c r="E283" s="43" t="s">
        <v>698</v>
      </c>
      <c r="F283" s="2">
        <v>20250731</v>
      </c>
      <c r="G283" s="2">
        <v>20250731</v>
      </c>
      <c r="H283" s="2">
        <v>20250731</v>
      </c>
      <c r="I283" s="44"/>
      <c r="M283" s="40" t="s">
        <v>125</v>
      </c>
      <c r="N283" s="42"/>
      <c r="P283" s="47">
        <v>307030</v>
      </c>
      <c r="R283" s="47" t="s">
        <v>699</v>
      </c>
    </row>
    <row r="284" spans="1:18">
      <c r="A284" s="2">
        <v>1</v>
      </c>
      <c r="B284" s="2">
        <v>283</v>
      </c>
      <c r="C284" s="38">
        <v>95211102</v>
      </c>
      <c r="D284" s="4"/>
      <c r="E284" s="43" t="s">
        <v>698</v>
      </c>
      <c r="F284" s="2">
        <v>20250731</v>
      </c>
      <c r="G284" s="2">
        <v>20250731</v>
      </c>
      <c r="H284" s="2">
        <v>20250731</v>
      </c>
      <c r="I284" s="44"/>
      <c r="M284" s="40" t="s">
        <v>336</v>
      </c>
      <c r="N284" s="42"/>
      <c r="P284" s="47">
        <v>307030</v>
      </c>
      <c r="R284" s="47" t="s">
        <v>699</v>
      </c>
    </row>
    <row r="285" spans="1:18">
      <c r="A285" s="2">
        <v>1</v>
      </c>
      <c r="B285" s="2">
        <v>284</v>
      </c>
      <c r="C285" s="38">
        <v>95211102</v>
      </c>
      <c r="D285" s="4"/>
      <c r="E285" s="43" t="s">
        <v>698</v>
      </c>
      <c r="F285" s="2">
        <v>20250731</v>
      </c>
      <c r="G285" s="2">
        <v>20250731</v>
      </c>
      <c r="H285" s="2">
        <v>20250731</v>
      </c>
      <c r="I285" s="44"/>
      <c r="M285" s="40" t="s">
        <v>138</v>
      </c>
      <c r="N285" s="42"/>
      <c r="P285" s="47">
        <v>307030</v>
      </c>
      <c r="R285" s="47" t="s">
        <v>699</v>
      </c>
    </row>
    <row r="286" spans="1:18">
      <c r="A286" s="2">
        <v>1</v>
      </c>
      <c r="B286" s="2">
        <v>285</v>
      </c>
      <c r="C286" s="38">
        <v>95211102</v>
      </c>
      <c r="D286" s="4"/>
      <c r="E286" s="43" t="s">
        <v>698</v>
      </c>
      <c r="F286" s="2">
        <v>20250731</v>
      </c>
      <c r="G286" s="2">
        <v>20250731</v>
      </c>
      <c r="H286" s="2">
        <v>20250731</v>
      </c>
      <c r="I286" s="44"/>
      <c r="M286" s="40" t="s">
        <v>141</v>
      </c>
      <c r="N286" s="42"/>
      <c r="P286" s="47">
        <v>307030</v>
      </c>
      <c r="R286" s="47" t="s">
        <v>699</v>
      </c>
    </row>
    <row r="287" spans="1:18">
      <c r="A287" s="2">
        <v>1</v>
      </c>
      <c r="B287" s="2">
        <v>286</v>
      </c>
      <c r="C287" s="38">
        <v>95211102</v>
      </c>
      <c r="D287" s="4"/>
      <c r="E287" s="43" t="s">
        <v>698</v>
      </c>
      <c r="F287" s="2">
        <v>20250731</v>
      </c>
      <c r="G287" s="2">
        <v>20250731</v>
      </c>
      <c r="H287" s="2">
        <v>20250731</v>
      </c>
      <c r="I287" s="44"/>
      <c r="M287" s="40" t="s">
        <v>337</v>
      </c>
      <c r="N287" s="42"/>
      <c r="P287" s="47">
        <v>307030</v>
      </c>
      <c r="R287" s="47" t="s">
        <v>699</v>
      </c>
    </row>
    <row r="288" spans="1:18">
      <c r="A288" s="2">
        <v>1</v>
      </c>
      <c r="B288" s="2">
        <v>287</v>
      </c>
      <c r="C288" s="38">
        <v>95211102</v>
      </c>
      <c r="D288" s="4"/>
      <c r="E288" s="43" t="s">
        <v>698</v>
      </c>
      <c r="F288" s="2">
        <v>20250731</v>
      </c>
      <c r="G288" s="2">
        <v>20250731</v>
      </c>
      <c r="H288" s="2">
        <v>20250731</v>
      </c>
      <c r="I288" s="44"/>
      <c r="M288" s="40" t="s">
        <v>337</v>
      </c>
      <c r="N288" s="42"/>
      <c r="P288" s="47">
        <v>307030</v>
      </c>
      <c r="R288" s="47" t="s">
        <v>699</v>
      </c>
    </row>
    <row r="289" spans="1:18">
      <c r="A289" s="2">
        <v>1</v>
      </c>
      <c r="B289" s="2">
        <v>288</v>
      </c>
      <c r="C289" s="38">
        <v>95211103</v>
      </c>
      <c r="D289" s="4"/>
      <c r="E289" s="43" t="s">
        <v>698</v>
      </c>
      <c r="F289" s="2">
        <v>20250731</v>
      </c>
      <c r="G289" s="2">
        <v>20250731</v>
      </c>
      <c r="H289" s="2">
        <v>20250731</v>
      </c>
      <c r="I289" s="44"/>
      <c r="M289" s="40" t="s">
        <v>143</v>
      </c>
      <c r="N289" s="42"/>
      <c r="P289" s="47">
        <v>307030</v>
      </c>
      <c r="R289" s="47" t="s">
        <v>699</v>
      </c>
    </row>
    <row r="290" spans="1:18">
      <c r="A290" s="2">
        <v>1</v>
      </c>
      <c r="B290" s="2">
        <v>289</v>
      </c>
      <c r="C290" s="38">
        <v>95211103</v>
      </c>
      <c r="D290" s="4"/>
      <c r="E290" s="43" t="s">
        <v>698</v>
      </c>
      <c r="F290" s="2">
        <v>20250731</v>
      </c>
      <c r="G290" s="2">
        <v>20250731</v>
      </c>
      <c r="H290" s="2">
        <v>20250731</v>
      </c>
      <c r="I290" s="44"/>
      <c r="M290" s="40" t="s">
        <v>143</v>
      </c>
      <c r="N290" s="42"/>
      <c r="P290" s="47">
        <v>307030</v>
      </c>
      <c r="R290" s="47" t="s">
        <v>699</v>
      </c>
    </row>
    <row r="291" spans="1:18">
      <c r="A291" s="2">
        <v>1</v>
      </c>
      <c r="B291" s="2">
        <v>290</v>
      </c>
      <c r="C291" s="38">
        <v>95211103</v>
      </c>
      <c r="D291" s="4"/>
      <c r="E291" s="43" t="s">
        <v>698</v>
      </c>
      <c r="F291" s="2">
        <v>20250731</v>
      </c>
      <c r="G291" s="2">
        <v>20250731</v>
      </c>
      <c r="H291" s="2">
        <v>20250731</v>
      </c>
      <c r="I291" s="44"/>
      <c r="M291" s="40" t="s">
        <v>145</v>
      </c>
      <c r="N291" s="42"/>
      <c r="P291" s="47">
        <v>307030</v>
      </c>
      <c r="R291" s="47" t="s">
        <v>699</v>
      </c>
    </row>
    <row r="292" spans="1:18">
      <c r="A292" s="2">
        <v>1</v>
      </c>
      <c r="B292" s="2">
        <v>291</v>
      </c>
      <c r="C292" s="38">
        <v>95211103</v>
      </c>
      <c r="D292" s="4"/>
      <c r="E292" s="43" t="s">
        <v>698</v>
      </c>
      <c r="F292" s="2">
        <v>20250731</v>
      </c>
      <c r="G292" s="2">
        <v>20250731</v>
      </c>
      <c r="H292" s="2">
        <v>20250731</v>
      </c>
      <c r="I292" s="44"/>
      <c r="M292" s="40" t="s">
        <v>338</v>
      </c>
      <c r="N292" s="42"/>
      <c r="P292" s="47">
        <v>307030</v>
      </c>
      <c r="R292" s="47" t="s">
        <v>699</v>
      </c>
    </row>
    <row r="293" spans="1:18">
      <c r="A293" s="2">
        <v>1</v>
      </c>
      <c r="B293" s="2">
        <v>292</v>
      </c>
      <c r="C293" s="38">
        <v>95211103</v>
      </c>
      <c r="D293" s="4"/>
      <c r="E293" s="43" t="s">
        <v>698</v>
      </c>
      <c r="F293" s="2">
        <v>20250731</v>
      </c>
      <c r="G293" s="2">
        <v>20250731</v>
      </c>
      <c r="H293" s="2">
        <v>20250731</v>
      </c>
      <c r="I293" s="44"/>
      <c r="M293" s="40" t="s">
        <v>144</v>
      </c>
      <c r="N293" s="42"/>
      <c r="P293" s="47">
        <v>307030</v>
      </c>
      <c r="R293" s="47" t="s">
        <v>699</v>
      </c>
    </row>
    <row r="294" spans="1:18">
      <c r="A294" s="2">
        <v>1</v>
      </c>
      <c r="B294" s="2">
        <v>293</v>
      </c>
      <c r="C294" s="38">
        <v>95211103</v>
      </c>
      <c r="D294" s="4"/>
      <c r="E294" s="43" t="s">
        <v>698</v>
      </c>
      <c r="F294" s="2">
        <v>20250731</v>
      </c>
      <c r="G294" s="2">
        <v>20250731</v>
      </c>
      <c r="H294" s="2">
        <v>20250731</v>
      </c>
      <c r="I294" s="44"/>
      <c r="M294" s="40" t="s">
        <v>149</v>
      </c>
      <c r="N294" s="42"/>
      <c r="P294" s="47">
        <v>307030</v>
      </c>
      <c r="R294" s="47" t="s">
        <v>699</v>
      </c>
    </row>
    <row r="295" spans="1:18">
      <c r="A295" s="2">
        <v>1</v>
      </c>
      <c r="B295" s="2">
        <v>294</v>
      </c>
      <c r="C295" s="38">
        <v>95211103</v>
      </c>
      <c r="D295" s="4"/>
      <c r="E295" s="43" t="s">
        <v>698</v>
      </c>
      <c r="F295" s="2">
        <v>20250731</v>
      </c>
      <c r="G295" s="2">
        <v>20250731</v>
      </c>
      <c r="H295" s="2">
        <v>20250731</v>
      </c>
      <c r="I295" s="44"/>
      <c r="M295" s="40" t="s">
        <v>144</v>
      </c>
      <c r="N295" s="42"/>
      <c r="P295" s="47">
        <v>307030</v>
      </c>
      <c r="R295" s="47" t="s">
        <v>699</v>
      </c>
    </row>
    <row r="296" spans="1:18">
      <c r="A296" s="2">
        <v>1</v>
      </c>
      <c r="B296" s="2">
        <v>295</v>
      </c>
      <c r="C296" s="38">
        <v>95211103</v>
      </c>
      <c r="D296" s="4"/>
      <c r="E296" s="43" t="s">
        <v>698</v>
      </c>
      <c r="F296" s="2">
        <v>20250731</v>
      </c>
      <c r="G296" s="2">
        <v>20250731</v>
      </c>
      <c r="H296" s="2">
        <v>20250731</v>
      </c>
      <c r="I296" s="44"/>
      <c r="M296" s="40" t="s">
        <v>143</v>
      </c>
      <c r="N296" s="42"/>
      <c r="P296" s="47">
        <v>307030</v>
      </c>
      <c r="R296" s="47" t="s">
        <v>699</v>
      </c>
    </row>
    <row r="297" spans="1:18">
      <c r="A297" s="2">
        <v>1</v>
      </c>
      <c r="B297" s="2">
        <v>296</v>
      </c>
      <c r="C297" s="38">
        <v>95211103</v>
      </c>
      <c r="D297" s="4"/>
      <c r="E297" s="43" t="s">
        <v>698</v>
      </c>
      <c r="F297" s="2">
        <v>20250731</v>
      </c>
      <c r="G297" s="2">
        <v>20250731</v>
      </c>
      <c r="H297" s="2">
        <v>20250731</v>
      </c>
      <c r="I297" s="44"/>
      <c r="M297" s="40" t="s">
        <v>145</v>
      </c>
      <c r="N297" s="42"/>
      <c r="P297" s="47">
        <v>307030</v>
      </c>
      <c r="R297" s="47" t="s">
        <v>699</v>
      </c>
    </row>
    <row r="298" spans="1:18">
      <c r="A298" s="2">
        <v>1</v>
      </c>
      <c r="B298" s="2">
        <v>297</v>
      </c>
      <c r="C298" s="38">
        <v>95211103</v>
      </c>
      <c r="D298" s="4"/>
      <c r="E298" s="43" t="s">
        <v>698</v>
      </c>
      <c r="F298" s="2">
        <v>20250731</v>
      </c>
      <c r="G298" s="2">
        <v>20250731</v>
      </c>
      <c r="H298" s="2">
        <v>20250731</v>
      </c>
      <c r="I298" s="44"/>
      <c r="M298" s="40" t="s">
        <v>145</v>
      </c>
      <c r="N298" s="42"/>
      <c r="P298" s="47">
        <v>307030</v>
      </c>
      <c r="R298" s="47" t="s">
        <v>699</v>
      </c>
    </row>
    <row r="299" spans="1:18">
      <c r="A299" s="2">
        <v>1</v>
      </c>
      <c r="B299" s="2">
        <v>298</v>
      </c>
      <c r="C299" s="38">
        <v>95211103</v>
      </c>
      <c r="D299" s="4"/>
      <c r="E299" s="43" t="s">
        <v>698</v>
      </c>
      <c r="F299" s="2">
        <v>20250731</v>
      </c>
      <c r="G299" s="2">
        <v>20250731</v>
      </c>
      <c r="H299" s="2">
        <v>20250731</v>
      </c>
      <c r="I299" s="44"/>
      <c r="M299" s="40" t="s">
        <v>145</v>
      </c>
      <c r="N299" s="42"/>
      <c r="P299" s="47">
        <v>307030</v>
      </c>
      <c r="R299" s="47" t="s">
        <v>699</v>
      </c>
    </row>
    <row r="300" spans="1:18">
      <c r="A300" s="2">
        <v>1</v>
      </c>
      <c r="B300" s="2">
        <v>299</v>
      </c>
      <c r="C300" s="38">
        <v>95211103</v>
      </c>
      <c r="D300" s="4"/>
      <c r="E300" s="43" t="s">
        <v>698</v>
      </c>
      <c r="F300" s="2">
        <v>20250731</v>
      </c>
      <c r="G300" s="2">
        <v>20250731</v>
      </c>
      <c r="H300" s="2">
        <v>20250731</v>
      </c>
      <c r="I300" s="44"/>
      <c r="M300" s="40" t="s">
        <v>146</v>
      </c>
      <c r="N300" s="42"/>
      <c r="P300" s="47">
        <v>307030</v>
      </c>
      <c r="R300" s="47" t="s">
        <v>699</v>
      </c>
    </row>
    <row r="301" spans="1:18">
      <c r="A301" s="2">
        <v>1</v>
      </c>
      <c r="B301" s="2">
        <v>300</v>
      </c>
      <c r="C301" s="38">
        <v>95211103</v>
      </c>
      <c r="D301" s="4"/>
      <c r="E301" s="43" t="s">
        <v>698</v>
      </c>
      <c r="F301" s="2">
        <v>20250731</v>
      </c>
      <c r="G301" s="2">
        <v>20250731</v>
      </c>
      <c r="H301" s="2">
        <v>20250731</v>
      </c>
      <c r="I301" s="44"/>
      <c r="M301" s="40" t="s">
        <v>144</v>
      </c>
      <c r="N301" s="42"/>
      <c r="P301" s="47">
        <v>307030</v>
      </c>
      <c r="R301" s="47" t="s">
        <v>699</v>
      </c>
    </row>
    <row r="302" spans="1:18">
      <c r="A302" s="2">
        <v>1</v>
      </c>
      <c r="B302" s="2">
        <v>301</v>
      </c>
      <c r="C302" s="38">
        <v>95211103</v>
      </c>
      <c r="D302" s="4"/>
      <c r="E302" s="43" t="s">
        <v>698</v>
      </c>
      <c r="F302" s="2">
        <v>20250731</v>
      </c>
      <c r="G302" s="2">
        <v>20250731</v>
      </c>
      <c r="H302" s="2">
        <v>20250731</v>
      </c>
      <c r="I302" s="44"/>
      <c r="M302" s="40" t="s">
        <v>145</v>
      </c>
      <c r="N302" s="42"/>
      <c r="P302" s="47">
        <v>307030</v>
      </c>
      <c r="R302" s="47" t="s">
        <v>699</v>
      </c>
    </row>
    <row r="303" spans="1:18">
      <c r="A303" s="2">
        <v>1</v>
      </c>
      <c r="B303" s="2">
        <v>302</v>
      </c>
      <c r="C303" s="38">
        <v>95211103</v>
      </c>
      <c r="D303" s="4"/>
      <c r="E303" s="43" t="s">
        <v>698</v>
      </c>
      <c r="F303" s="2">
        <v>20250731</v>
      </c>
      <c r="G303" s="2">
        <v>20250731</v>
      </c>
      <c r="H303" s="2">
        <v>20250731</v>
      </c>
      <c r="I303" s="44"/>
      <c r="M303" s="40" t="s">
        <v>143</v>
      </c>
      <c r="N303" s="42"/>
      <c r="P303" s="47">
        <v>307030</v>
      </c>
      <c r="R303" s="47" t="s">
        <v>699</v>
      </c>
    </row>
    <row r="304" spans="1:18">
      <c r="A304" s="2">
        <v>1</v>
      </c>
      <c r="B304" s="2">
        <v>303</v>
      </c>
      <c r="C304" s="38">
        <v>95211103</v>
      </c>
      <c r="D304" s="4"/>
      <c r="E304" s="43" t="s">
        <v>698</v>
      </c>
      <c r="F304" s="2">
        <v>20250731</v>
      </c>
      <c r="G304" s="2">
        <v>20250731</v>
      </c>
      <c r="H304" s="2">
        <v>20250731</v>
      </c>
      <c r="I304" s="44"/>
      <c r="M304" s="40" t="s">
        <v>144</v>
      </c>
      <c r="N304" s="42"/>
      <c r="P304" s="47">
        <v>307030</v>
      </c>
      <c r="R304" s="47" t="s">
        <v>699</v>
      </c>
    </row>
    <row r="305" spans="1:18">
      <c r="A305" s="2">
        <v>1</v>
      </c>
      <c r="B305" s="2">
        <v>304</v>
      </c>
      <c r="C305" s="38">
        <v>95211103</v>
      </c>
      <c r="D305" s="4"/>
      <c r="E305" s="43" t="s">
        <v>698</v>
      </c>
      <c r="F305" s="2">
        <v>20250731</v>
      </c>
      <c r="G305" s="2">
        <v>20250731</v>
      </c>
      <c r="H305" s="2">
        <v>20250731</v>
      </c>
      <c r="I305" s="44"/>
      <c r="M305" s="40" t="s">
        <v>143</v>
      </c>
      <c r="N305" s="42"/>
      <c r="P305" s="47">
        <v>307030</v>
      </c>
      <c r="R305" s="47" t="s">
        <v>699</v>
      </c>
    </row>
    <row r="306" spans="1:18">
      <c r="A306" s="2">
        <v>1</v>
      </c>
      <c r="B306" s="2">
        <v>305</v>
      </c>
      <c r="C306" s="38">
        <v>95211103</v>
      </c>
      <c r="D306" s="4"/>
      <c r="E306" s="43" t="s">
        <v>698</v>
      </c>
      <c r="F306" s="2">
        <v>20250731</v>
      </c>
      <c r="G306" s="2">
        <v>20250731</v>
      </c>
      <c r="H306" s="2">
        <v>20250731</v>
      </c>
      <c r="I306" s="44"/>
      <c r="M306" s="40" t="s">
        <v>338</v>
      </c>
      <c r="N306" s="42"/>
      <c r="P306" s="47">
        <v>307030</v>
      </c>
      <c r="R306" s="47" t="s">
        <v>699</v>
      </c>
    </row>
    <row r="307" spans="1:18">
      <c r="A307" s="2">
        <v>1</v>
      </c>
      <c r="B307" s="2">
        <v>306</v>
      </c>
      <c r="C307" s="38">
        <v>95211103</v>
      </c>
      <c r="D307" s="4"/>
      <c r="E307" s="43" t="s">
        <v>698</v>
      </c>
      <c r="F307" s="2">
        <v>20250731</v>
      </c>
      <c r="G307" s="2">
        <v>20250731</v>
      </c>
      <c r="H307" s="2">
        <v>20250731</v>
      </c>
      <c r="I307" s="44"/>
      <c r="M307" s="40" t="s">
        <v>181</v>
      </c>
      <c r="N307" s="42"/>
      <c r="P307" s="47">
        <v>307030</v>
      </c>
      <c r="R307" s="47" t="s">
        <v>699</v>
      </c>
    </row>
    <row r="308" spans="1:18">
      <c r="A308" s="2">
        <v>1</v>
      </c>
      <c r="B308" s="2">
        <v>307</v>
      </c>
      <c r="C308" s="38">
        <v>95211103</v>
      </c>
      <c r="D308" s="4"/>
      <c r="E308" s="43" t="s">
        <v>698</v>
      </c>
      <c r="F308" s="2">
        <v>20250731</v>
      </c>
      <c r="G308" s="2">
        <v>20250731</v>
      </c>
      <c r="H308" s="2">
        <v>20250731</v>
      </c>
      <c r="I308" s="44"/>
      <c r="M308" s="40" t="s">
        <v>144</v>
      </c>
      <c r="N308" s="42"/>
      <c r="P308" s="47">
        <v>307030</v>
      </c>
      <c r="R308" s="47" t="s">
        <v>699</v>
      </c>
    </row>
    <row r="309" spans="1:18">
      <c r="A309" s="2">
        <v>1</v>
      </c>
      <c r="B309" s="2">
        <v>308</v>
      </c>
      <c r="C309" s="38">
        <v>95211103</v>
      </c>
      <c r="D309" s="4"/>
      <c r="E309" s="43" t="s">
        <v>698</v>
      </c>
      <c r="F309" s="2">
        <v>20250731</v>
      </c>
      <c r="G309" s="2">
        <v>20250731</v>
      </c>
      <c r="H309" s="2">
        <v>20250731</v>
      </c>
      <c r="I309" s="44"/>
      <c r="M309" s="40" t="s">
        <v>142</v>
      </c>
      <c r="N309" s="42"/>
      <c r="P309" s="47">
        <v>307030</v>
      </c>
      <c r="R309" s="47" t="s">
        <v>699</v>
      </c>
    </row>
    <row r="310" spans="1:18">
      <c r="A310" s="2">
        <v>1</v>
      </c>
      <c r="B310" s="2">
        <v>309</v>
      </c>
      <c r="C310" s="38">
        <v>95211103</v>
      </c>
      <c r="D310" s="4"/>
      <c r="E310" s="43" t="s">
        <v>698</v>
      </c>
      <c r="F310" s="2">
        <v>20250731</v>
      </c>
      <c r="G310" s="2">
        <v>20250731</v>
      </c>
      <c r="H310" s="2">
        <v>20250731</v>
      </c>
      <c r="I310" s="44"/>
      <c r="M310" s="40" t="s">
        <v>144</v>
      </c>
      <c r="N310" s="42"/>
      <c r="P310" s="47">
        <v>307030</v>
      </c>
      <c r="R310" s="47" t="s">
        <v>699</v>
      </c>
    </row>
    <row r="311" spans="1:18">
      <c r="A311" s="2">
        <v>1</v>
      </c>
      <c r="B311" s="2">
        <v>310</v>
      </c>
      <c r="C311" s="38">
        <v>95211103</v>
      </c>
      <c r="D311" s="4"/>
      <c r="E311" s="43" t="s">
        <v>698</v>
      </c>
      <c r="F311" s="2">
        <v>20250731</v>
      </c>
      <c r="G311" s="2">
        <v>20250731</v>
      </c>
      <c r="H311" s="2">
        <v>20250731</v>
      </c>
      <c r="I311" s="44"/>
      <c r="M311" s="40" t="s">
        <v>142</v>
      </c>
      <c r="N311" s="42"/>
      <c r="P311" s="47">
        <v>307030</v>
      </c>
      <c r="R311" s="47" t="s">
        <v>699</v>
      </c>
    </row>
    <row r="312" spans="1:18">
      <c r="A312" s="2">
        <v>1</v>
      </c>
      <c r="B312" s="2">
        <v>311</v>
      </c>
      <c r="C312" s="38">
        <v>95211103</v>
      </c>
      <c r="D312" s="4"/>
      <c r="E312" s="43" t="s">
        <v>698</v>
      </c>
      <c r="F312" s="2">
        <v>20250731</v>
      </c>
      <c r="G312" s="2">
        <v>20250731</v>
      </c>
      <c r="H312" s="2">
        <v>20250731</v>
      </c>
      <c r="I312" s="44"/>
      <c r="M312" s="40" t="s">
        <v>144</v>
      </c>
      <c r="N312" s="42"/>
      <c r="P312" s="47">
        <v>307030</v>
      </c>
      <c r="R312" s="47" t="s">
        <v>699</v>
      </c>
    </row>
    <row r="313" spans="1:18">
      <c r="A313" s="2">
        <v>1</v>
      </c>
      <c r="B313" s="2">
        <v>312</v>
      </c>
      <c r="C313" s="38">
        <v>95211103</v>
      </c>
      <c r="D313" s="4"/>
      <c r="E313" s="43" t="s">
        <v>698</v>
      </c>
      <c r="F313" s="2">
        <v>20250731</v>
      </c>
      <c r="G313" s="2">
        <v>20250731</v>
      </c>
      <c r="H313" s="2">
        <v>20250731</v>
      </c>
      <c r="I313" s="44"/>
      <c r="M313" s="40" t="s">
        <v>142</v>
      </c>
      <c r="N313" s="42"/>
      <c r="P313" s="47">
        <v>307030</v>
      </c>
      <c r="R313" s="47" t="s">
        <v>699</v>
      </c>
    </row>
    <row r="314" spans="1:18">
      <c r="A314" s="2">
        <v>1</v>
      </c>
      <c r="B314" s="2">
        <v>313</v>
      </c>
      <c r="C314" s="38">
        <v>95211103</v>
      </c>
      <c r="D314" s="4"/>
      <c r="E314" s="43" t="s">
        <v>698</v>
      </c>
      <c r="F314" s="2">
        <v>20250731</v>
      </c>
      <c r="G314" s="2">
        <v>20250731</v>
      </c>
      <c r="H314" s="2">
        <v>20250731</v>
      </c>
      <c r="I314" s="44"/>
      <c r="M314" s="40" t="s">
        <v>143</v>
      </c>
      <c r="N314" s="42"/>
      <c r="P314" s="47">
        <v>307030</v>
      </c>
      <c r="R314" s="47" t="s">
        <v>699</v>
      </c>
    </row>
    <row r="315" spans="1:18">
      <c r="A315" s="2">
        <v>1</v>
      </c>
      <c r="B315" s="2">
        <v>314</v>
      </c>
      <c r="C315" s="38">
        <v>95211103</v>
      </c>
      <c r="D315" s="4"/>
      <c r="E315" s="43" t="s">
        <v>698</v>
      </c>
      <c r="F315" s="2">
        <v>20250731</v>
      </c>
      <c r="G315" s="2">
        <v>20250731</v>
      </c>
      <c r="H315" s="2">
        <v>20250731</v>
      </c>
      <c r="I315" s="44"/>
      <c r="M315" s="40" t="s">
        <v>143</v>
      </c>
      <c r="N315" s="42"/>
      <c r="P315" s="47">
        <v>307030</v>
      </c>
      <c r="R315" s="47" t="s">
        <v>699</v>
      </c>
    </row>
    <row r="316" spans="1:18">
      <c r="A316" s="2">
        <v>1</v>
      </c>
      <c r="B316" s="2">
        <v>315</v>
      </c>
      <c r="C316" s="38">
        <v>95211103</v>
      </c>
      <c r="D316" s="4"/>
      <c r="E316" s="43" t="s">
        <v>698</v>
      </c>
      <c r="F316" s="2">
        <v>20250731</v>
      </c>
      <c r="G316" s="2">
        <v>20250731</v>
      </c>
      <c r="H316" s="2">
        <v>20250731</v>
      </c>
      <c r="I316" s="44"/>
      <c r="M316" s="40" t="s">
        <v>145</v>
      </c>
      <c r="N316" s="42"/>
      <c r="P316" s="47">
        <v>307030</v>
      </c>
      <c r="R316" s="47" t="s">
        <v>699</v>
      </c>
    </row>
    <row r="317" spans="1:18">
      <c r="A317" s="2">
        <v>1</v>
      </c>
      <c r="B317" s="2">
        <v>316</v>
      </c>
      <c r="C317" s="38">
        <v>95211103</v>
      </c>
      <c r="D317" s="4"/>
      <c r="E317" s="43" t="s">
        <v>698</v>
      </c>
      <c r="F317" s="2">
        <v>20250731</v>
      </c>
      <c r="G317" s="2">
        <v>20250731</v>
      </c>
      <c r="H317" s="2">
        <v>20250731</v>
      </c>
      <c r="I317" s="44"/>
      <c r="M317" s="40" t="s">
        <v>146</v>
      </c>
      <c r="N317" s="42"/>
      <c r="P317" s="47">
        <v>307030</v>
      </c>
      <c r="R317" s="47" t="s">
        <v>699</v>
      </c>
    </row>
    <row r="318" spans="1:18">
      <c r="A318" s="2">
        <v>1</v>
      </c>
      <c r="B318" s="2">
        <v>317</v>
      </c>
      <c r="C318" s="38">
        <v>95211103</v>
      </c>
      <c r="D318" s="4"/>
      <c r="E318" s="43" t="s">
        <v>698</v>
      </c>
      <c r="F318" s="2">
        <v>20250731</v>
      </c>
      <c r="G318" s="2">
        <v>20250731</v>
      </c>
      <c r="H318" s="2">
        <v>20250731</v>
      </c>
      <c r="I318" s="44"/>
      <c r="M318" s="40" t="s">
        <v>145</v>
      </c>
      <c r="N318" s="42"/>
      <c r="P318" s="47">
        <v>307030</v>
      </c>
      <c r="R318" s="47" t="s">
        <v>699</v>
      </c>
    </row>
    <row r="319" spans="1:18">
      <c r="A319" s="2">
        <v>1</v>
      </c>
      <c r="B319" s="2">
        <v>318</v>
      </c>
      <c r="C319" s="38">
        <v>95211103</v>
      </c>
      <c r="D319" s="4"/>
      <c r="E319" s="43" t="s">
        <v>698</v>
      </c>
      <c r="F319" s="2">
        <v>20250731</v>
      </c>
      <c r="G319" s="2">
        <v>20250731</v>
      </c>
      <c r="H319" s="2">
        <v>20250731</v>
      </c>
      <c r="I319" s="44"/>
      <c r="M319" s="40" t="s">
        <v>142</v>
      </c>
      <c r="N319" s="42"/>
      <c r="P319" s="47">
        <v>307030</v>
      </c>
      <c r="R319" s="47" t="s">
        <v>699</v>
      </c>
    </row>
    <row r="320" spans="1:18">
      <c r="A320" s="2">
        <v>1</v>
      </c>
      <c r="B320" s="2">
        <v>319</v>
      </c>
      <c r="C320" s="38">
        <v>95211103</v>
      </c>
      <c r="D320" s="4"/>
      <c r="E320" s="43" t="s">
        <v>698</v>
      </c>
      <c r="F320" s="2">
        <v>20250731</v>
      </c>
      <c r="G320" s="2">
        <v>20250731</v>
      </c>
      <c r="H320" s="2">
        <v>20250731</v>
      </c>
      <c r="I320" s="44"/>
      <c r="M320" s="40" t="s">
        <v>144</v>
      </c>
      <c r="N320" s="42"/>
      <c r="P320" s="47">
        <v>307030</v>
      </c>
      <c r="R320" s="47" t="s">
        <v>699</v>
      </c>
    </row>
    <row r="321" spans="1:18">
      <c r="A321" s="2">
        <v>1</v>
      </c>
      <c r="B321" s="2">
        <v>320</v>
      </c>
      <c r="C321" s="38">
        <v>95211103</v>
      </c>
      <c r="D321" s="4"/>
      <c r="E321" s="43" t="s">
        <v>698</v>
      </c>
      <c r="F321" s="2">
        <v>20250731</v>
      </c>
      <c r="G321" s="2">
        <v>20250731</v>
      </c>
      <c r="H321" s="2">
        <v>20250731</v>
      </c>
      <c r="I321" s="44"/>
      <c r="M321" s="40" t="s">
        <v>142</v>
      </c>
      <c r="N321" s="42"/>
      <c r="P321" s="47">
        <v>307030</v>
      </c>
      <c r="R321" s="47" t="s">
        <v>699</v>
      </c>
    </row>
    <row r="322" spans="1:18">
      <c r="A322" s="2">
        <v>1</v>
      </c>
      <c r="B322" s="2">
        <v>321</v>
      </c>
      <c r="C322" s="38">
        <v>95211103</v>
      </c>
      <c r="D322" s="4"/>
      <c r="E322" s="43" t="s">
        <v>698</v>
      </c>
      <c r="F322" s="2">
        <v>20250731</v>
      </c>
      <c r="G322" s="2">
        <v>20250731</v>
      </c>
      <c r="H322" s="2">
        <v>20250731</v>
      </c>
      <c r="I322" s="44"/>
      <c r="M322" s="40" t="s">
        <v>144</v>
      </c>
      <c r="N322" s="42"/>
      <c r="P322" s="47">
        <v>307030</v>
      </c>
      <c r="R322" s="47" t="s">
        <v>699</v>
      </c>
    </row>
    <row r="323" spans="1:18">
      <c r="A323" s="2">
        <v>1</v>
      </c>
      <c r="B323" s="2">
        <v>322</v>
      </c>
      <c r="C323" s="38">
        <v>95211103</v>
      </c>
      <c r="D323" s="4"/>
      <c r="E323" s="43" t="s">
        <v>698</v>
      </c>
      <c r="F323" s="2">
        <v>20250731</v>
      </c>
      <c r="G323" s="2">
        <v>20250731</v>
      </c>
      <c r="H323" s="2">
        <v>20250731</v>
      </c>
      <c r="I323" s="44"/>
      <c r="M323" s="40" t="s">
        <v>143</v>
      </c>
      <c r="N323" s="42"/>
      <c r="P323" s="47">
        <v>307030</v>
      </c>
      <c r="R323" s="47" t="s">
        <v>699</v>
      </c>
    </row>
    <row r="324" spans="1:18">
      <c r="A324" s="2">
        <v>1</v>
      </c>
      <c r="B324" s="2">
        <v>323</v>
      </c>
      <c r="C324" s="38">
        <v>95211103</v>
      </c>
      <c r="D324" s="4"/>
      <c r="E324" s="43" t="s">
        <v>698</v>
      </c>
      <c r="F324" s="2">
        <v>20250731</v>
      </c>
      <c r="G324" s="2">
        <v>20250731</v>
      </c>
      <c r="H324" s="2">
        <v>20250731</v>
      </c>
      <c r="I324" s="44"/>
      <c r="M324" s="40" t="s">
        <v>143</v>
      </c>
      <c r="N324" s="42"/>
      <c r="P324" s="47">
        <v>307030</v>
      </c>
      <c r="R324" s="47" t="s">
        <v>699</v>
      </c>
    </row>
    <row r="325" spans="1:18">
      <c r="A325" s="2">
        <v>1</v>
      </c>
      <c r="B325" s="2">
        <v>324</v>
      </c>
      <c r="C325" s="38">
        <v>95211103</v>
      </c>
      <c r="D325" s="4"/>
      <c r="E325" s="43" t="s">
        <v>698</v>
      </c>
      <c r="F325" s="2">
        <v>20250731</v>
      </c>
      <c r="G325" s="2">
        <v>20250731</v>
      </c>
      <c r="H325" s="2">
        <v>20250731</v>
      </c>
      <c r="I325" s="44"/>
      <c r="M325" s="40" t="s">
        <v>146</v>
      </c>
      <c r="N325" s="42"/>
      <c r="P325" s="47">
        <v>307030</v>
      </c>
      <c r="R325" s="47" t="s">
        <v>699</v>
      </c>
    </row>
    <row r="326" spans="1:18">
      <c r="A326" s="2">
        <v>1</v>
      </c>
      <c r="B326" s="2">
        <v>325</v>
      </c>
      <c r="C326" s="38">
        <v>95211103</v>
      </c>
      <c r="D326" s="4"/>
      <c r="E326" s="43" t="s">
        <v>698</v>
      </c>
      <c r="F326" s="2">
        <v>20250731</v>
      </c>
      <c r="G326" s="2">
        <v>20250731</v>
      </c>
      <c r="H326" s="2">
        <v>20250731</v>
      </c>
      <c r="I326" s="44"/>
      <c r="M326" s="40" t="s">
        <v>144</v>
      </c>
      <c r="N326" s="42"/>
      <c r="P326" s="47">
        <v>307030</v>
      </c>
      <c r="R326" s="47" t="s">
        <v>699</v>
      </c>
    </row>
    <row r="327" spans="1:18">
      <c r="A327" s="2">
        <v>1</v>
      </c>
      <c r="B327" s="2">
        <v>326</v>
      </c>
      <c r="C327" s="38">
        <v>95211103</v>
      </c>
      <c r="D327" s="4"/>
      <c r="E327" s="43" t="s">
        <v>698</v>
      </c>
      <c r="F327" s="2">
        <v>20250731</v>
      </c>
      <c r="G327" s="2">
        <v>20250731</v>
      </c>
      <c r="H327" s="2">
        <v>20250731</v>
      </c>
      <c r="I327" s="44"/>
      <c r="M327" s="40" t="s">
        <v>146</v>
      </c>
      <c r="N327" s="42"/>
      <c r="P327" s="47">
        <v>307030</v>
      </c>
      <c r="R327" s="47" t="s">
        <v>699</v>
      </c>
    </row>
    <row r="328" spans="1:18">
      <c r="A328" s="2">
        <v>1</v>
      </c>
      <c r="B328" s="2">
        <v>327</v>
      </c>
      <c r="C328" s="38">
        <v>95211103</v>
      </c>
      <c r="D328" s="4"/>
      <c r="E328" s="43" t="s">
        <v>698</v>
      </c>
      <c r="F328" s="2">
        <v>20250731</v>
      </c>
      <c r="G328" s="2">
        <v>20250731</v>
      </c>
      <c r="H328" s="2">
        <v>20250731</v>
      </c>
      <c r="I328" s="44"/>
      <c r="M328" s="40" t="s">
        <v>143</v>
      </c>
      <c r="N328" s="42"/>
      <c r="P328" s="47">
        <v>307030</v>
      </c>
      <c r="R328" s="47" t="s">
        <v>699</v>
      </c>
    </row>
    <row r="329" spans="1:18">
      <c r="A329" s="2">
        <v>1</v>
      </c>
      <c r="B329" s="2">
        <v>328</v>
      </c>
      <c r="C329" s="38">
        <v>95211103</v>
      </c>
      <c r="D329" s="4"/>
      <c r="E329" s="43" t="s">
        <v>698</v>
      </c>
      <c r="F329" s="2">
        <v>20250731</v>
      </c>
      <c r="G329" s="2">
        <v>20250731</v>
      </c>
      <c r="H329" s="2">
        <v>20250731</v>
      </c>
      <c r="I329" s="44"/>
      <c r="M329" s="40" t="s">
        <v>144</v>
      </c>
      <c r="N329" s="42"/>
      <c r="P329" s="47">
        <v>307030</v>
      </c>
      <c r="R329" s="47" t="s">
        <v>699</v>
      </c>
    </row>
    <row r="330" spans="1:18">
      <c r="A330" s="2">
        <v>1</v>
      </c>
      <c r="B330" s="2">
        <v>329</v>
      </c>
      <c r="C330" s="38">
        <v>95211103</v>
      </c>
      <c r="D330" s="4"/>
      <c r="E330" s="43" t="s">
        <v>698</v>
      </c>
      <c r="F330" s="2">
        <v>20250731</v>
      </c>
      <c r="G330" s="2">
        <v>20250731</v>
      </c>
      <c r="H330" s="2">
        <v>20250731</v>
      </c>
      <c r="I330" s="44"/>
      <c r="M330" s="40" t="s">
        <v>143</v>
      </c>
      <c r="N330" s="42"/>
      <c r="P330" s="47">
        <v>307030</v>
      </c>
      <c r="R330" s="47" t="s">
        <v>699</v>
      </c>
    </row>
    <row r="331" spans="1:18">
      <c r="A331" s="2">
        <v>1</v>
      </c>
      <c r="B331" s="2">
        <v>330</v>
      </c>
      <c r="C331" s="38">
        <v>95211103</v>
      </c>
      <c r="D331" s="4"/>
      <c r="E331" s="43" t="s">
        <v>698</v>
      </c>
      <c r="F331" s="2">
        <v>20250731</v>
      </c>
      <c r="G331" s="2">
        <v>20250731</v>
      </c>
      <c r="H331" s="2">
        <v>20250731</v>
      </c>
      <c r="I331" s="44"/>
      <c r="M331" s="40" t="s">
        <v>143</v>
      </c>
      <c r="N331" s="42"/>
      <c r="P331" s="47">
        <v>307030</v>
      </c>
      <c r="R331" s="47" t="s">
        <v>699</v>
      </c>
    </row>
    <row r="332" spans="1:18">
      <c r="A332" s="2">
        <v>1</v>
      </c>
      <c r="B332" s="2">
        <v>331</v>
      </c>
      <c r="C332" s="38">
        <v>95211103</v>
      </c>
      <c r="D332" s="4"/>
      <c r="E332" s="43" t="s">
        <v>698</v>
      </c>
      <c r="F332" s="2">
        <v>20250731</v>
      </c>
      <c r="G332" s="2">
        <v>20250731</v>
      </c>
      <c r="H332" s="2">
        <v>20250731</v>
      </c>
      <c r="I332" s="44"/>
      <c r="M332" s="40" t="s">
        <v>144</v>
      </c>
      <c r="N332" s="42"/>
      <c r="P332" s="47">
        <v>307030</v>
      </c>
      <c r="R332" s="47" t="s">
        <v>699</v>
      </c>
    </row>
    <row r="333" spans="1:18">
      <c r="A333" s="2">
        <v>1</v>
      </c>
      <c r="B333" s="2">
        <v>332</v>
      </c>
      <c r="C333" s="38">
        <v>95211103</v>
      </c>
      <c r="D333" s="4"/>
      <c r="E333" s="43" t="s">
        <v>698</v>
      </c>
      <c r="F333" s="2">
        <v>20250731</v>
      </c>
      <c r="G333" s="2">
        <v>20250731</v>
      </c>
      <c r="H333" s="2">
        <v>20250731</v>
      </c>
      <c r="I333" s="44"/>
      <c r="M333" s="40" t="s">
        <v>142</v>
      </c>
      <c r="N333" s="42"/>
      <c r="P333" s="47">
        <v>307030</v>
      </c>
      <c r="R333" s="47" t="s">
        <v>699</v>
      </c>
    </row>
    <row r="334" spans="1:18">
      <c r="A334" s="2">
        <v>1</v>
      </c>
      <c r="B334" s="2">
        <v>333</v>
      </c>
      <c r="C334" s="38">
        <v>95211103</v>
      </c>
      <c r="D334" s="4"/>
      <c r="E334" s="43" t="s">
        <v>698</v>
      </c>
      <c r="F334" s="2">
        <v>20250731</v>
      </c>
      <c r="G334" s="2">
        <v>20250731</v>
      </c>
      <c r="H334" s="2">
        <v>20250731</v>
      </c>
      <c r="I334" s="44"/>
      <c r="M334" s="40" t="s">
        <v>339</v>
      </c>
      <c r="N334" s="42"/>
      <c r="P334" s="47">
        <v>307030</v>
      </c>
      <c r="R334" s="47" t="s">
        <v>699</v>
      </c>
    </row>
    <row r="335" spans="1:18">
      <c r="A335" s="2">
        <v>1</v>
      </c>
      <c r="B335" s="2">
        <v>334</v>
      </c>
      <c r="C335" s="38">
        <v>95211103</v>
      </c>
      <c r="D335" s="4"/>
      <c r="E335" s="43" t="s">
        <v>698</v>
      </c>
      <c r="F335" s="2">
        <v>20250731</v>
      </c>
      <c r="G335" s="2">
        <v>20250731</v>
      </c>
      <c r="H335" s="2">
        <v>20250731</v>
      </c>
      <c r="I335" s="44"/>
      <c r="M335" s="40" t="s">
        <v>149</v>
      </c>
      <c r="N335" s="42"/>
      <c r="P335" s="47">
        <v>307030</v>
      </c>
      <c r="R335" s="47" t="s">
        <v>699</v>
      </c>
    </row>
    <row r="336" spans="1:18">
      <c r="A336" s="2">
        <v>1</v>
      </c>
      <c r="B336" s="2">
        <v>335</v>
      </c>
      <c r="C336" s="38">
        <v>95211103</v>
      </c>
      <c r="D336" s="4"/>
      <c r="E336" s="43" t="s">
        <v>698</v>
      </c>
      <c r="F336" s="2">
        <v>20250731</v>
      </c>
      <c r="G336" s="2">
        <v>20250731</v>
      </c>
      <c r="H336" s="2">
        <v>20250731</v>
      </c>
      <c r="I336" s="44"/>
      <c r="M336" s="40" t="s">
        <v>143</v>
      </c>
      <c r="N336" s="42"/>
      <c r="P336" s="47">
        <v>307030</v>
      </c>
      <c r="R336" s="47" t="s">
        <v>699</v>
      </c>
    </row>
    <row r="337" spans="1:18">
      <c r="A337" s="2">
        <v>1</v>
      </c>
      <c r="B337" s="2">
        <v>336</v>
      </c>
      <c r="C337" s="38">
        <v>95211103</v>
      </c>
      <c r="D337" s="4"/>
      <c r="E337" s="43" t="s">
        <v>698</v>
      </c>
      <c r="F337" s="2">
        <v>20250731</v>
      </c>
      <c r="G337" s="2">
        <v>20250731</v>
      </c>
      <c r="H337" s="2">
        <v>20250731</v>
      </c>
      <c r="I337" s="44"/>
      <c r="M337" s="40" t="s">
        <v>144</v>
      </c>
      <c r="N337" s="42"/>
      <c r="P337" s="47">
        <v>307030</v>
      </c>
      <c r="R337" s="47" t="s">
        <v>699</v>
      </c>
    </row>
    <row r="338" spans="1:18">
      <c r="A338" s="2">
        <v>1</v>
      </c>
      <c r="B338" s="2">
        <v>337</v>
      </c>
      <c r="C338" s="38">
        <v>95211103</v>
      </c>
      <c r="D338" s="4"/>
      <c r="E338" s="43" t="s">
        <v>698</v>
      </c>
      <c r="F338" s="2">
        <v>20250731</v>
      </c>
      <c r="G338" s="2">
        <v>20250731</v>
      </c>
      <c r="H338" s="2">
        <v>20250731</v>
      </c>
      <c r="I338" s="44"/>
      <c r="M338" s="40" t="s">
        <v>144</v>
      </c>
      <c r="N338" s="42"/>
      <c r="P338" s="47">
        <v>307030</v>
      </c>
      <c r="R338" s="47" t="s">
        <v>699</v>
      </c>
    </row>
    <row r="339" spans="1:18">
      <c r="A339" s="2">
        <v>1</v>
      </c>
      <c r="B339" s="2">
        <v>338</v>
      </c>
      <c r="C339" s="38">
        <v>95211103</v>
      </c>
      <c r="D339" s="4"/>
      <c r="E339" s="43" t="s">
        <v>698</v>
      </c>
      <c r="F339" s="2">
        <v>20250731</v>
      </c>
      <c r="G339" s="2">
        <v>20250731</v>
      </c>
      <c r="H339" s="2">
        <v>20250731</v>
      </c>
      <c r="I339" s="44"/>
      <c r="M339" s="40" t="s">
        <v>148</v>
      </c>
      <c r="N339" s="42"/>
      <c r="P339" s="47">
        <v>307030</v>
      </c>
      <c r="R339" s="47" t="s">
        <v>699</v>
      </c>
    </row>
    <row r="340" spans="1:18">
      <c r="A340" s="2">
        <v>1</v>
      </c>
      <c r="B340" s="2">
        <v>339</v>
      </c>
      <c r="C340" s="38">
        <v>95211103</v>
      </c>
      <c r="D340" s="4"/>
      <c r="E340" s="43" t="s">
        <v>698</v>
      </c>
      <c r="F340" s="2">
        <v>20250731</v>
      </c>
      <c r="G340" s="2">
        <v>20250731</v>
      </c>
      <c r="H340" s="2">
        <v>20250731</v>
      </c>
      <c r="I340" s="44"/>
      <c r="M340" s="40" t="s">
        <v>145</v>
      </c>
      <c r="N340" s="42"/>
      <c r="P340" s="47">
        <v>307030</v>
      </c>
      <c r="R340" s="47" t="s">
        <v>699</v>
      </c>
    </row>
    <row r="341" spans="1:18">
      <c r="A341" s="2">
        <v>1</v>
      </c>
      <c r="B341" s="2">
        <v>340</v>
      </c>
      <c r="C341" s="38">
        <v>95211103</v>
      </c>
      <c r="D341" s="4"/>
      <c r="E341" s="43" t="s">
        <v>698</v>
      </c>
      <c r="F341" s="2">
        <v>20250731</v>
      </c>
      <c r="G341" s="2">
        <v>20250731</v>
      </c>
      <c r="H341" s="2">
        <v>20250731</v>
      </c>
      <c r="I341" s="44"/>
      <c r="M341" s="40" t="s">
        <v>143</v>
      </c>
      <c r="N341" s="42"/>
      <c r="P341" s="47">
        <v>307030</v>
      </c>
      <c r="R341" s="47" t="s">
        <v>699</v>
      </c>
    </row>
    <row r="342" spans="1:18">
      <c r="A342" s="2">
        <v>1</v>
      </c>
      <c r="B342" s="2">
        <v>341</v>
      </c>
      <c r="C342" s="38">
        <v>95211103</v>
      </c>
      <c r="D342" s="4"/>
      <c r="E342" s="43" t="s">
        <v>698</v>
      </c>
      <c r="F342" s="2">
        <v>20250731</v>
      </c>
      <c r="G342" s="2">
        <v>20250731</v>
      </c>
      <c r="H342" s="2">
        <v>20250731</v>
      </c>
      <c r="I342" s="44"/>
      <c r="M342" s="40" t="s">
        <v>144</v>
      </c>
      <c r="N342" s="42"/>
      <c r="P342" s="47">
        <v>307030</v>
      </c>
      <c r="R342" s="47" t="s">
        <v>699</v>
      </c>
    </row>
    <row r="343" spans="1:18">
      <c r="A343" s="2">
        <v>1</v>
      </c>
      <c r="B343" s="2">
        <v>342</v>
      </c>
      <c r="C343" s="38">
        <v>95211103</v>
      </c>
      <c r="D343" s="4"/>
      <c r="E343" s="43" t="s">
        <v>698</v>
      </c>
      <c r="F343" s="2">
        <v>20250731</v>
      </c>
      <c r="G343" s="2">
        <v>20250731</v>
      </c>
      <c r="H343" s="2">
        <v>20250731</v>
      </c>
      <c r="I343" s="44"/>
      <c r="M343" s="40" t="s">
        <v>142</v>
      </c>
      <c r="N343" s="42"/>
      <c r="P343" s="47">
        <v>307030</v>
      </c>
      <c r="R343" s="47" t="s">
        <v>699</v>
      </c>
    </row>
    <row r="344" spans="1:18">
      <c r="A344" s="2">
        <v>1</v>
      </c>
      <c r="B344" s="2">
        <v>343</v>
      </c>
      <c r="C344" s="38">
        <v>95211103</v>
      </c>
      <c r="D344" s="4"/>
      <c r="E344" s="43" t="s">
        <v>698</v>
      </c>
      <c r="F344" s="2">
        <v>20250731</v>
      </c>
      <c r="G344" s="2">
        <v>20250731</v>
      </c>
      <c r="H344" s="2">
        <v>20250731</v>
      </c>
      <c r="I344" s="44"/>
      <c r="M344" s="40" t="s">
        <v>143</v>
      </c>
      <c r="N344" s="42"/>
      <c r="P344" s="47">
        <v>307030</v>
      </c>
      <c r="R344" s="47" t="s">
        <v>699</v>
      </c>
    </row>
    <row r="345" spans="1:18">
      <c r="A345" s="2">
        <v>1</v>
      </c>
      <c r="B345" s="2">
        <v>344</v>
      </c>
      <c r="C345" s="38">
        <v>95211103</v>
      </c>
      <c r="D345" s="4"/>
      <c r="E345" s="43" t="s">
        <v>698</v>
      </c>
      <c r="F345" s="2">
        <v>20250731</v>
      </c>
      <c r="G345" s="2">
        <v>20250731</v>
      </c>
      <c r="H345" s="2">
        <v>20250731</v>
      </c>
      <c r="I345" s="44"/>
      <c r="M345" s="40" t="s">
        <v>146</v>
      </c>
      <c r="N345" s="42"/>
      <c r="P345" s="47">
        <v>307030</v>
      </c>
      <c r="R345" s="47" t="s">
        <v>699</v>
      </c>
    </row>
    <row r="346" spans="1:18">
      <c r="A346" s="2">
        <v>1</v>
      </c>
      <c r="B346" s="2">
        <v>345</v>
      </c>
      <c r="C346" s="38">
        <v>95211103</v>
      </c>
      <c r="D346" s="4"/>
      <c r="E346" s="43" t="s">
        <v>698</v>
      </c>
      <c r="F346" s="2">
        <v>20250731</v>
      </c>
      <c r="G346" s="2">
        <v>20250731</v>
      </c>
      <c r="H346" s="2">
        <v>20250731</v>
      </c>
      <c r="I346" s="44"/>
      <c r="M346" s="40" t="s">
        <v>142</v>
      </c>
      <c r="N346" s="42"/>
      <c r="P346" s="47">
        <v>307030</v>
      </c>
      <c r="R346" s="47" t="s">
        <v>699</v>
      </c>
    </row>
    <row r="347" spans="1:18">
      <c r="A347" s="2">
        <v>1</v>
      </c>
      <c r="B347" s="2">
        <v>346</v>
      </c>
      <c r="C347" s="38">
        <v>95211103</v>
      </c>
      <c r="D347" s="4"/>
      <c r="E347" s="43" t="s">
        <v>698</v>
      </c>
      <c r="F347" s="2">
        <v>20250731</v>
      </c>
      <c r="G347" s="2">
        <v>20250731</v>
      </c>
      <c r="H347" s="2">
        <v>20250731</v>
      </c>
      <c r="I347" s="44"/>
      <c r="M347" s="40" t="s">
        <v>146</v>
      </c>
      <c r="N347" s="42"/>
      <c r="P347" s="47">
        <v>307030</v>
      </c>
      <c r="R347" s="47" t="s">
        <v>699</v>
      </c>
    </row>
    <row r="348" spans="1:18">
      <c r="A348" s="2">
        <v>1</v>
      </c>
      <c r="B348" s="2">
        <v>347</v>
      </c>
      <c r="C348" s="38">
        <v>95211103</v>
      </c>
      <c r="D348" s="4"/>
      <c r="E348" s="43" t="s">
        <v>698</v>
      </c>
      <c r="F348" s="2">
        <v>20250731</v>
      </c>
      <c r="G348" s="2">
        <v>20250731</v>
      </c>
      <c r="H348" s="2">
        <v>20250731</v>
      </c>
      <c r="I348" s="44"/>
      <c r="M348" s="40" t="s">
        <v>144</v>
      </c>
      <c r="N348" s="42"/>
      <c r="P348" s="47">
        <v>307030</v>
      </c>
      <c r="R348" s="47" t="s">
        <v>699</v>
      </c>
    </row>
    <row r="349" spans="1:18">
      <c r="A349" s="2">
        <v>1</v>
      </c>
      <c r="B349" s="2">
        <v>348</v>
      </c>
      <c r="C349" s="38">
        <v>95211103</v>
      </c>
      <c r="D349" s="4"/>
      <c r="E349" s="43" t="s">
        <v>698</v>
      </c>
      <c r="F349" s="2">
        <v>20250731</v>
      </c>
      <c r="G349" s="2">
        <v>20250731</v>
      </c>
      <c r="H349" s="2">
        <v>20250731</v>
      </c>
      <c r="I349" s="44"/>
      <c r="M349" s="40" t="s">
        <v>145</v>
      </c>
      <c r="N349" s="42"/>
      <c r="P349" s="47">
        <v>307030</v>
      </c>
      <c r="R349" s="47" t="s">
        <v>699</v>
      </c>
    </row>
    <row r="350" spans="1:18">
      <c r="A350" s="2">
        <v>1</v>
      </c>
      <c r="B350" s="2">
        <v>349</v>
      </c>
      <c r="C350" s="38">
        <v>95211103</v>
      </c>
      <c r="D350" s="4"/>
      <c r="E350" s="43" t="s">
        <v>698</v>
      </c>
      <c r="F350" s="2">
        <v>20250731</v>
      </c>
      <c r="G350" s="2">
        <v>20250731</v>
      </c>
      <c r="H350" s="2">
        <v>20250731</v>
      </c>
      <c r="I350" s="44"/>
      <c r="M350" s="40" t="s">
        <v>143</v>
      </c>
      <c r="N350" s="42"/>
      <c r="P350" s="47">
        <v>307030</v>
      </c>
      <c r="R350" s="47" t="s">
        <v>699</v>
      </c>
    </row>
    <row r="351" spans="1:18">
      <c r="A351" s="2">
        <v>1</v>
      </c>
      <c r="B351" s="2">
        <v>350</v>
      </c>
      <c r="C351" s="38">
        <v>95211103</v>
      </c>
      <c r="D351" s="4"/>
      <c r="E351" s="43" t="s">
        <v>698</v>
      </c>
      <c r="F351" s="2">
        <v>20250731</v>
      </c>
      <c r="G351" s="2">
        <v>20250731</v>
      </c>
      <c r="H351" s="2">
        <v>20250731</v>
      </c>
      <c r="I351" s="44"/>
      <c r="M351" s="40" t="s">
        <v>143</v>
      </c>
      <c r="N351" s="42"/>
      <c r="P351" s="47">
        <v>307030</v>
      </c>
      <c r="R351" s="47" t="s">
        <v>699</v>
      </c>
    </row>
    <row r="352" spans="1:18">
      <c r="A352" s="2">
        <v>1</v>
      </c>
      <c r="B352" s="2">
        <v>351</v>
      </c>
      <c r="C352" s="38">
        <v>95211103</v>
      </c>
      <c r="D352" s="4"/>
      <c r="E352" s="43" t="s">
        <v>698</v>
      </c>
      <c r="F352" s="2">
        <v>20250731</v>
      </c>
      <c r="G352" s="2">
        <v>20250731</v>
      </c>
      <c r="H352" s="2">
        <v>20250731</v>
      </c>
      <c r="I352" s="44"/>
      <c r="M352" s="40" t="s">
        <v>143</v>
      </c>
      <c r="N352" s="42"/>
      <c r="P352" s="47">
        <v>307030</v>
      </c>
      <c r="R352" s="47" t="s">
        <v>699</v>
      </c>
    </row>
    <row r="353" spans="1:18">
      <c r="A353" s="2">
        <v>1</v>
      </c>
      <c r="B353" s="2">
        <v>352</v>
      </c>
      <c r="C353" s="38">
        <v>95211103</v>
      </c>
      <c r="D353" s="4"/>
      <c r="E353" s="43" t="s">
        <v>698</v>
      </c>
      <c r="F353" s="2">
        <v>20250731</v>
      </c>
      <c r="G353" s="2">
        <v>20250731</v>
      </c>
      <c r="H353" s="2">
        <v>20250731</v>
      </c>
      <c r="I353" s="44"/>
      <c r="M353" s="40" t="s">
        <v>147</v>
      </c>
      <c r="N353" s="42"/>
      <c r="P353" s="47">
        <v>307030</v>
      </c>
      <c r="R353" s="47" t="s">
        <v>699</v>
      </c>
    </row>
    <row r="354" spans="1:18">
      <c r="A354" s="2">
        <v>1</v>
      </c>
      <c r="B354" s="2">
        <v>353</v>
      </c>
      <c r="C354" s="38">
        <v>95211104</v>
      </c>
      <c r="D354" s="4"/>
      <c r="E354" s="43" t="s">
        <v>698</v>
      </c>
      <c r="F354" s="2">
        <v>20250731</v>
      </c>
      <c r="G354" s="2">
        <v>20250731</v>
      </c>
      <c r="H354" s="2">
        <v>20250731</v>
      </c>
      <c r="I354" s="44"/>
      <c r="M354" s="40" t="s">
        <v>140</v>
      </c>
      <c r="N354" s="42"/>
      <c r="P354" s="47">
        <v>307030</v>
      </c>
      <c r="R354" s="47" t="s">
        <v>699</v>
      </c>
    </row>
    <row r="355" spans="1:18">
      <c r="A355" s="2">
        <v>1</v>
      </c>
      <c r="B355" s="2">
        <v>354</v>
      </c>
      <c r="C355" s="38">
        <v>95211202</v>
      </c>
      <c r="D355" s="4"/>
      <c r="E355" s="43" t="s">
        <v>698</v>
      </c>
      <c r="F355" s="2">
        <v>20250731</v>
      </c>
      <c r="G355" s="2">
        <v>20250731</v>
      </c>
      <c r="H355" s="2">
        <v>20250731</v>
      </c>
      <c r="I355" s="44"/>
      <c r="M355" s="40" t="s">
        <v>340</v>
      </c>
      <c r="N355" s="42"/>
      <c r="P355" s="47">
        <v>307030</v>
      </c>
      <c r="R355" s="47" t="s">
        <v>699</v>
      </c>
    </row>
    <row r="356" spans="1:18">
      <c r="A356" s="2">
        <v>1</v>
      </c>
      <c r="B356" s="2">
        <v>355</v>
      </c>
      <c r="C356" s="38">
        <v>95211202</v>
      </c>
      <c r="D356" s="4"/>
      <c r="E356" s="43" t="s">
        <v>698</v>
      </c>
      <c r="F356" s="2">
        <v>20250731</v>
      </c>
      <c r="G356" s="2">
        <v>20250731</v>
      </c>
      <c r="H356" s="2">
        <v>20250731</v>
      </c>
      <c r="I356" s="44"/>
      <c r="M356" s="40" t="s">
        <v>341</v>
      </c>
      <c r="N356" s="42"/>
      <c r="P356" s="47">
        <v>307030</v>
      </c>
      <c r="R356" s="47" t="s">
        <v>699</v>
      </c>
    </row>
    <row r="357" spans="1:18">
      <c r="A357" s="2">
        <v>1</v>
      </c>
      <c r="B357" s="2">
        <v>356</v>
      </c>
      <c r="C357" s="38">
        <v>95211202</v>
      </c>
      <c r="D357" s="4"/>
      <c r="E357" s="43" t="s">
        <v>698</v>
      </c>
      <c r="F357" s="2">
        <v>20250731</v>
      </c>
      <c r="G357" s="2">
        <v>20250731</v>
      </c>
      <c r="H357" s="2">
        <v>20250731</v>
      </c>
      <c r="I357" s="44"/>
      <c r="M357" s="40" t="s">
        <v>342</v>
      </c>
      <c r="N357" s="42"/>
      <c r="P357" s="47">
        <v>307030</v>
      </c>
      <c r="R357" s="47" t="s">
        <v>699</v>
      </c>
    </row>
    <row r="358" spans="1:18">
      <c r="A358" s="2">
        <v>1</v>
      </c>
      <c r="B358" s="2">
        <v>357</v>
      </c>
      <c r="C358" s="38">
        <v>95211202</v>
      </c>
      <c r="D358" s="4"/>
      <c r="E358" s="43" t="s">
        <v>698</v>
      </c>
      <c r="F358" s="2">
        <v>20250731</v>
      </c>
      <c r="G358" s="2">
        <v>20250731</v>
      </c>
      <c r="H358" s="2">
        <v>20250731</v>
      </c>
      <c r="I358" s="44"/>
      <c r="M358" s="40" t="s">
        <v>343</v>
      </c>
      <c r="N358" s="42"/>
      <c r="P358" s="47">
        <v>307030</v>
      </c>
      <c r="R358" s="47" t="s">
        <v>699</v>
      </c>
    </row>
    <row r="359" spans="1:18">
      <c r="A359" s="2">
        <v>1</v>
      </c>
      <c r="B359" s="2">
        <v>358</v>
      </c>
      <c r="C359" s="38">
        <v>95211202</v>
      </c>
      <c r="D359" s="4"/>
      <c r="E359" s="43" t="s">
        <v>698</v>
      </c>
      <c r="F359" s="2">
        <v>20250731</v>
      </c>
      <c r="G359" s="2">
        <v>20250731</v>
      </c>
      <c r="H359" s="2">
        <v>20250731</v>
      </c>
      <c r="I359" s="44"/>
      <c r="M359" s="40" t="s">
        <v>344</v>
      </c>
      <c r="N359" s="42"/>
      <c r="P359" s="47">
        <v>307030</v>
      </c>
      <c r="R359" s="47" t="s">
        <v>699</v>
      </c>
    </row>
    <row r="360" spans="1:18">
      <c r="A360" s="2">
        <v>1</v>
      </c>
      <c r="B360" s="2">
        <v>359</v>
      </c>
      <c r="C360" s="38">
        <v>95211202</v>
      </c>
      <c r="D360" s="4"/>
      <c r="E360" s="43" t="s">
        <v>698</v>
      </c>
      <c r="F360" s="2">
        <v>20250731</v>
      </c>
      <c r="G360" s="2">
        <v>20250731</v>
      </c>
      <c r="H360" s="2">
        <v>20250731</v>
      </c>
      <c r="I360" s="44"/>
      <c r="M360" s="40" t="s">
        <v>345</v>
      </c>
      <c r="N360" s="42"/>
      <c r="P360" s="47">
        <v>307030</v>
      </c>
      <c r="R360" s="47" t="s">
        <v>699</v>
      </c>
    </row>
    <row r="361" spans="1:18">
      <c r="A361" s="2">
        <v>1</v>
      </c>
      <c r="B361" s="2">
        <v>360</v>
      </c>
      <c r="C361" s="38">
        <v>95211202</v>
      </c>
      <c r="D361" s="4"/>
      <c r="E361" s="43" t="s">
        <v>698</v>
      </c>
      <c r="F361" s="2">
        <v>20250731</v>
      </c>
      <c r="G361" s="2">
        <v>20250731</v>
      </c>
      <c r="H361" s="2">
        <v>20250731</v>
      </c>
      <c r="I361" s="44"/>
      <c r="M361" s="40" t="s">
        <v>117</v>
      </c>
      <c r="N361" s="42"/>
      <c r="P361" s="47">
        <v>307030</v>
      </c>
      <c r="R361" s="47" t="s">
        <v>699</v>
      </c>
    </row>
    <row r="362" spans="1:18">
      <c r="A362" s="2">
        <v>1</v>
      </c>
      <c r="B362" s="2">
        <v>361</v>
      </c>
      <c r="C362" s="38">
        <v>95211202</v>
      </c>
      <c r="D362" s="4"/>
      <c r="E362" s="43" t="s">
        <v>698</v>
      </c>
      <c r="F362" s="2">
        <v>20250731</v>
      </c>
      <c r="G362" s="2">
        <v>20250731</v>
      </c>
      <c r="H362" s="2">
        <v>20250731</v>
      </c>
      <c r="I362" s="44"/>
      <c r="M362" s="40" t="s">
        <v>346</v>
      </c>
      <c r="N362" s="42"/>
      <c r="P362" s="47">
        <v>307030</v>
      </c>
      <c r="R362" s="47" t="s">
        <v>699</v>
      </c>
    </row>
    <row r="363" spans="1:18">
      <c r="A363" s="2">
        <v>1</v>
      </c>
      <c r="B363" s="2">
        <v>362</v>
      </c>
      <c r="C363" s="38">
        <v>95211202</v>
      </c>
      <c r="D363" s="4"/>
      <c r="E363" s="43" t="s">
        <v>698</v>
      </c>
      <c r="F363" s="2">
        <v>20250731</v>
      </c>
      <c r="G363" s="2">
        <v>20250731</v>
      </c>
      <c r="H363" s="2">
        <v>20250731</v>
      </c>
      <c r="I363" s="44"/>
      <c r="M363" s="40" t="s">
        <v>277</v>
      </c>
      <c r="N363" s="42"/>
      <c r="P363" s="47">
        <v>307030</v>
      </c>
      <c r="R363" s="47" t="s">
        <v>699</v>
      </c>
    </row>
    <row r="364" spans="1:18">
      <c r="A364" s="2">
        <v>1</v>
      </c>
      <c r="B364" s="2">
        <v>363</v>
      </c>
      <c r="C364" s="38">
        <v>95211202</v>
      </c>
      <c r="D364" s="4"/>
      <c r="E364" s="43" t="s">
        <v>698</v>
      </c>
      <c r="F364" s="2">
        <v>20250731</v>
      </c>
      <c r="G364" s="2">
        <v>20250731</v>
      </c>
      <c r="H364" s="2">
        <v>20250731</v>
      </c>
      <c r="I364" s="44"/>
      <c r="M364" s="40" t="s">
        <v>347</v>
      </c>
      <c r="N364" s="42"/>
      <c r="P364" s="47">
        <v>307030</v>
      </c>
      <c r="R364" s="47" t="s">
        <v>699</v>
      </c>
    </row>
    <row r="365" spans="1:18">
      <c r="A365" s="2">
        <v>1</v>
      </c>
      <c r="B365" s="2">
        <v>364</v>
      </c>
      <c r="C365" s="38">
        <v>95211202</v>
      </c>
      <c r="D365" s="4"/>
      <c r="E365" s="43" t="s">
        <v>698</v>
      </c>
      <c r="F365" s="2">
        <v>20250731</v>
      </c>
      <c r="G365" s="2">
        <v>20250731</v>
      </c>
      <c r="H365" s="2">
        <v>20250731</v>
      </c>
      <c r="I365" s="44"/>
      <c r="M365" s="40" t="s">
        <v>348</v>
      </c>
      <c r="N365" s="42"/>
      <c r="P365" s="47">
        <v>307030</v>
      </c>
      <c r="R365" s="47" t="s">
        <v>699</v>
      </c>
    </row>
    <row r="366" spans="1:18">
      <c r="A366" s="2">
        <v>1</v>
      </c>
      <c r="B366" s="2">
        <v>365</v>
      </c>
      <c r="C366" s="38">
        <v>95211202</v>
      </c>
      <c r="D366" s="4"/>
      <c r="E366" s="43" t="s">
        <v>698</v>
      </c>
      <c r="F366" s="2">
        <v>20250731</v>
      </c>
      <c r="G366" s="2">
        <v>20250731</v>
      </c>
      <c r="H366" s="2">
        <v>20250731</v>
      </c>
      <c r="I366" s="44"/>
      <c r="M366" s="40" t="s">
        <v>349</v>
      </c>
      <c r="N366" s="42"/>
      <c r="P366" s="47">
        <v>307030</v>
      </c>
      <c r="R366" s="47" t="s">
        <v>699</v>
      </c>
    </row>
    <row r="367" spans="1:18">
      <c r="A367" s="2">
        <v>1</v>
      </c>
      <c r="B367" s="2">
        <v>366</v>
      </c>
      <c r="C367" s="38">
        <v>95211202</v>
      </c>
      <c r="D367" s="4"/>
      <c r="E367" s="43" t="s">
        <v>698</v>
      </c>
      <c r="F367" s="2">
        <v>20250731</v>
      </c>
      <c r="G367" s="2">
        <v>20250731</v>
      </c>
      <c r="H367" s="2">
        <v>20250731</v>
      </c>
      <c r="I367" s="44"/>
      <c r="M367" s="40" t="s">
        <v>350</v>
      </c>
      <c r="N367" s="42"/>
      <c r="P367" s="47">
        <v>307030</v>
      </c>
      <c r="R367" s="47" t="s">
        <v>699</v>
      </c>
    </row>
    <row r="368" spans="1:18">
      <c r="A368" s="2">
        <v>1</v>
      </c>
      <c r="B368" s="2">
        <v>367</v>
      </c>
      <c r="C368" s="38">
        <v>95211202</v>
      </c>
      <c r="D368" s="4"/>
      <c r="E368" s="43" t="s">
        <v>698</v>
      </c>
      <c r="F368" s="2">
        <v>20250731</v>
      </c>
      <c r="G368" s="2">
        <v>20250731</v>
      </c>
      <c r="H368" s="2">
        <v>20250731</v>
      </c>
      <c r="I368" s="44"/>
      <c r="M368" s="40" t="s">
        <v>351</v>
      </c>
      <c r="N368" s="42"/>
      <c r="P368" s="47">
        <v>307030</v>
      </c>
      <c r="R368" s="47" t="s">
        <v>699</v>
      </c>
    </row>
    <row r="369" spans="1:18">
      <c r="A369" s="2">
        <v>1</v>
      </c>
      <c r="B369" s="2">
        <v>368</v>
      </c>
      <c r="C369" s="38">
        <v>95211202</v>
      </c>
      <c r="D369" s="4"/>
      <c r="E369" s="43" t="s">
        <v>698</v>
      </c>
      <c r="F369" s="2">
        <v>20250731</v>
      </c>
      <c r="G369" s="2">
        <v>20250731</v>
      </c>
      <c r="H369" s="2">
        <v>20250731</v>
      </c>
      <c r="I369" s="44"/>
      <c r="M369" s="40" t="s">
        <v>352</v>
      </c>
      <c r="N369" s="42"/>
      <c r="P369" s="47">
        <v>307030</v>
      </c>
      <c r="R369" s="47" t="s">
        <v>699</v>
      </c>
    </row>
    <row r="370" spans="1:18">
      <c r="A370" s="2">
        <v>1</v>
      </c>
      <c r="B370" s="2">
        <v>369</v>
      </c>
      <c r="C370" s="38">
        <v>95211202</v>
      </c>
      <c r="D370" s="4"/>
      <c r="E370" s="43" t="s">
        <v>698</v>
      </c>
      <c r="F370" s="2">
        <v>20250731</v>
      </c>
      <c r="G370" s="2">
        <v>20250731</v>
      </c>
      <c r="H370" s="2">
        <v>20250731</v>
      </c>
      <c r="I370" s="44"/>
      <c r="M370" s="40" t="s">
        <v>353</v>
      </c>
      <c r="N370" s="42"/>
      <c r="P370" s="47">
        <v>307030</v>
      </c>
      <c r="R370" s="47" t="s">
        <v>699</v>
      </c>
    </row>
    <row r="371" spans="1:18">
      <c r="A371" s="2">
        <v>1</v>
      </c>
      <c r="B371" s="2">
        <v>370</v>
      </c>
      <c r="C371" s="38">
        <v>95211202</v>
      </c>
      <c r="D371" s="4"/>
      <c r="E371" s="43" t="s">
        <v>698</v>
      </c>
      <c r="F371" s="2">
        <v>20250731</v>
      </c>
      <c r="G371" s="2">
        <v>20250731</v>
      </c>
      <c r="H371" s="2">
        <v>20250731</v>
      </c>
      <c r="I371" s="44"/>
      <c r="M371" s="40" t="s">
        <v>354</v>
      </c>
      <c r="N371" s="42"/>
      <c r="P371" s="47">
        <v>307030</v>
      </c>
      <c r="R371" s="47" t="s">
        <v>699</v>
      </c>
    </row>
    <row r="372" spans="1:18">
      <c r="A372" s="2">
        <v>1</v>
      </c>
      <c r="B372" s="2">
        <v>371</v>
      </c>
      <c r="C372" s="38">
        <v>95211202</v>
      </c>
      <c r="D372" s="4"/>
      <c r="E372" s="43" t="s">
        <v>698</v>
      </c>
      <c r="F372" s="2">
        <v>20250731</v>
      </c>
      <c r="G372" s="2">
        <v>20250731</v>
      </c>
      <c r="H372" s="2">
        <v>20250731</v>
      </c>
      <c r="I372" s="44"/>
      <c r="M372" s="40" t="s">
        <v>355</v>
      </c>
      <c r="N372" s="42"/>
      <c r="P372" s="47">
        <v>307030</v>
      </c>
      <c r="R372" s="47" t="s">
        <v>699</v>
      </c>
    </row>
    <row r="373" spans="1:18">
      <c r="A373" s="2">
        <v>1</v>
      </c>
      <c r="B373" s="2">
        <v>372</v>
      </c>
      <c r="C373" s="38">
        <v>95211202</v>
      </c>
      <c r="D373" s="4"/>
      <c r="E373" s="43" t="s">
        <v>698</v>
      </c>
      <c r="F373" s="2">
        <v>20250731</v>
      </c>
      <c r="G373" s="2">
        <v>20250731</v>
      </c>
      <c r="H373" s="2">
        <v>20250731</v>
      </c>
      <c r="I373" s="44"/>
      <c r="M373" s="40" t="s">
        <v>356</v>
      </c>
      <c r="N373" s="42"/>
      <c r="P373" s="47">
        <v>307030</v>
      </c>
      <c r="R373" s="47" t="s">
        <v>699</v>
      </c>
    </row>
    <row r="374" spans="1:18">
      <c r="A374" s="2">
        <v>1</v>
      </c>
      <c r="B374" s="2">
        <v>373</v>
      </c>
      <c r="C374" s="38">
        <v>95211202</v>
      </c>
      <c r="D374" s="4"/>
      <c r="E374" s="43" t="s">
        <v>698</v>
      </c>
      <c r="F374" s="2">
        <v>20250731</v>
      </c>
      <c r="G374" s="2">
        <v>20250731</v>
      </c>
      <c r="H374" s="2">
        <v>20250731</v>
      </c>
      <c r="I374" s="44"/>
      <c r="M374" s="40" t="s">
        <v>131</v>
      </c>
      <c r="N374" s="42"/>
      <c r="P374" s="47">
        <v>307030</v>
      </c>
      <c r="R374" s="47" t="s">
        <v>699</v>
      </c>
    </row>
    <row r="375" spans="1:18">
      <c r="A375" s="2">
        <v>1</v>
      </c>
      <c r="B375" s="2">
        <v>374</v>
      </c>
      <c r="C375" s="38">
        <v>95211202</v>
      </c>
      <c r="D375" s="4"/>
      <c r="E375" s="43" t="s">
        <v>698</v>
      </c>
      <c r="F375" s="2">
        <v>20250731</v>
      </c>
      <c r="G375" s="2">
        <v>20250731</v>
      </c>
      <c r="H375" s="2">
        <v>20250731</v>
      </c>
      <c r="I375" s="44"/>
      <c r="M375" s="40" t="s">
        <v>357</v>
      </c>
      <c r="N375" s="42"/>
      <c r="P375" s="47">
        <v>307030</v>
      </c>
      <c r="R375" s="47" t="s">
        <v>699</v>
      </c>
    </row>
    <row r="376" spans="1:18">
      <c r="A376" s="2">
        <v>1</v>
      </c>
      <c r="B376" s="2">
        <v>375</v>
      </c>
      <c r="C376" s="38">
        <v>95211202</v>
      </c>
      <c r="D376" s="4"/>
      <c r="E376" s="43" t="s">
        <v>698</v>
      </c>
      <c r="F376" s="2">
        <v>20250731</v>
      </c>
      <c r="G376" s="2">
        <v>20250731</v>
      </c>
      <c r="H376" s="2">
        <v>20250731</v>
      </c>
      <c r="I376" s="44"/>
      <c r="M376" s="40" t="s">
        <v>358</v>
      </c>
      <c r="N376" s="42"/>
      <c r="P376" s="47">
        <v>307030</v>
      </c>
      <c r="R376" s="47" t="s">
        <v>699</v>
      </c>
    </row>
    <row r="377" spans="1:18">
      <c r="A377" s="2">
        <v>1</v>
      </c>
      <c r="B377" s="2">
        <v>376</v>
      </c>
      <c r="C377" s="38">
        <v>95211202</v>
      </c>
      <c r="D377" s="4"/>
      <c r="E377" s="43" t="s">
        <v>698</v>
      </c>
      <c r="F377" s="2">
        <v>20250731</v>
      </c>
      <c r="G377" s="2">
        <v>20250731</v>
      </c>
      <c r="H377" s="2">
        <v>20250731</v>
      </c>
      <c r="I377" s="44"/>
      <c r="M377" s="40" t="s">
        <v>359</v>
      </c>
      <c r="N377" s="42"/>
      <c r="P377" s="47">
        <v>307030</v>
      </c>
      <c r="R377" s="47" t="s">
        <v>699</v>
      </c>
    </row>
    <row r="378" spans="1:18">
      <c r="A378" s="2">
        <v>1</v>
      </c>
      <c r="B378" s="2">
        <v>377</v>
      </c>
      <c r="C378" s="38">
        <v>95211202</v>
      </c>
      <c r="D378" s="4"/>
      <c r="E378" s="43" t="s">
        <v>698</v>
      </c>
      <c r="F378" s="2">
        <v>20250731</v>
      </c>
      <c r="G378" s="2">
        <v>20250731</v>
      </c>
      <c r="H378" s="2">
        <v>20250731</v>
      </c>
      <c r="I378" s="44"/>
      <c r="M378" s="40" t="s">
        <v>360</v>
      </c>
      <c r="N378" s="42"/>
      <c r="P378" s="47">
        <v>307030</v>
      </c>
      <c r="R378" s="47" t="s">
        <v>699</v>
      </c>
    </row>
    <row r="379" spans="1:18">
      <c r="A379" s="2">
        <v>1</v>
      </c>
      <c r="B379" s="2">
        <v>378</v>
      </c>
      <c r="C379" s="38">
        <v>95211202</v>
      </c>
      <c r="D379" s="4"/>
      <c r="E379" s="43" t="s">
        <v>698</v>
      </c>
      <c r="F379" s="2">
        <v>20250731</v>
      </c>
      <c r="G379" s="2">
        <v>20250731</v>
      </c>
      <c r="H379" s="2">
        <v>20250731</v>
      </c>
      <c r="I379" s="44"/>
      <c r="M379" s="40" t="s">
        <v>361</v>
      </c>
      <c r="N379" s="42"/>
      <c r="P379" s="47">
        <v>307030</v>
      </c>
      <c r="R379" s="47" t="s">
        <v>699</v>
      </c>
    </row>
    <row r="380" spans="1:18">
      <c r="A380" s="2">
        <v>1</v>
      </c>
      <c r="B380" s="2">
        <v>379</v>
      </c>
      <c r="C380" s="38">
        <v>95211202</v>
      </c>
      <c r="D380" s="4"/>
      <c r="E380" s="43" t="s">
        <v>698</v>
      </c>
      <c r="F380" s="2">
        <v>20250731</v>
      </c>
      <c r="G380" s="2">
        <v>20250731</v>
      </c>
      <c r="H380" s="2">
        <v>20250731</v>
      </c>
      <c r="I380" s="44"/>
      <c r="M380" s="40" t="s">
        <v>362</v>
      </c>
      <c r="N380" s="42"/>
      <c r="P380" s="47">
        <v>307030</v>
      </c>
      <c r="R380" s="47" t="s">
        <v>699</v>
      </c>
    </row>
    <row r="381" spans="1:18">
      <c r="A381" s="2">
        <v>1</v>
      </c>
      <c r="B381" s="2">
        <v>380</v>
      </c>
      <c r="C381" s="38">
        <v>95211202</v>
      </c>
      <c r="D381" s="4"/>
      <c r="E381" s="43" t="s">
        <v>698</v>
      </c>
      <c r="F381" s="2">
        <v>20250731</v>
      </c>
      <c r="G381" s="2">
        <v>20250731</v>
      </c>
      <c r="H381" s="2">
        <v>20250731</v>
      </c>
      <c r="I381" s="44"/>
      <c r="M381" s="40" t="s">
        <v>363</v>
      </c>
      <c r="N381" s="42"/>
      <c r="P381" s="47">
        <v>307030</v>
      </c>
      <c r="R381" s="47" t="s">
        <v>699</v>
      </c>
    </row>
    <row r="382" spans="1:18">
      <c r="A382" s="2">
        <v>1</v>
      </c>
      <c r="B382" s="2">
        <v>381</v>
      </c>
      <c r="C382" s="38">
        <v>95211202</v>
      </c>
      <c r="D382" s="4"/>
      <c r="E382" s="43" t="s">
        <v>698</v>
      </c>
      <c r="F382" s="2">
        <v>20250731</v>
      </c>
      <c r="G382" s="2">
        <v>20250731</v>
      </c>
      <c r="H382" s="2">
        <v>20250731</v>
      </c>
      <c r="I382" s="44"/>
      <c r="M382" s="40" t="s">
        <v>364</v>
      </c>
      <c r="N382" s="42"/>
      <c r="P382" s="47">
        <v>307030</v>
      </c>
      <c r="R382" s="47" t="s">
        <v>699</v>
      </c>
    </row>
    <row r="383" spans="1:18">
      <c r="A383" s="2">
        <v>1</v>
      </c>
      <c r="B383" s="2">
        <v>382</v>
      </c>
      <c r="C383" s="38">
        <v>95211202</v>
      </c>
      <c r="D383" s="4"/>
      <c r="E383" s="43" t="s">
        <v>698</v>
      </c>
      <c r="F383" s="2">
        <v>20250731</v>
      </c>
      <c r="G383" s="2">
        <v>20250731</v>
      </c>
      <c r="H383" s="2">
        <v>20250731</v>
      </c>
      <c r="I383" s="44"/>
      <c r="M383" s="40" t="s">
        <v>365</v>
      </c>
      <c r="N383" s="42"/>
      <c r="P383" s="47">
        <v>307030</v>
      </c>
      <c r="R383" s="47" t="s">
        <v>699</v>
      </c>
    </row>
    <row r="384" spans="1:18">
      <c r="A384" s="2">
        <v>1</v>
      </c>
      <c r="B384" s="2">
        <v>383</v>
      </c>
      <c r="C384" s="38">
        <v>95211202</v>
      </c>
      <c r="D384" s="4"/>
      <c r="E384" s="43" t="s">
        <v>698</v>
      </c>
      <c r="F384" s="2">
        <v>20250731</v>
      </c>
      <c r="G384" s="2">
        <v>20250731</v>
      </c>
      <c r="H384" s="2">
        <v>20250731</v>
      </c>
      <c r="I384" s="44"/>
      <c r="M384" s="40" t="s">
        <v>366</v>
      </c>
      <c r="N384" s="42"/>
      <c r="P384" s="47">
        <v>307030</v>
      </c>
      <c r="R384" s="47" t="s">
        <v>699</v>
      </c>
    </row>
    <row r="385" spans="1:18">
      <c r="A385" s="2">
        <v>1</v>
      </c>
      <c r="B385" s="2">
        <v>384</v>
      </c>
      <c r="C385" s="38">
        <v>95211202</v>
      </c>
      <c r="D385" s="4"/>
      <c r="E385" s="43" t="s">
        <v>698</v>
      </c>
      <c r="F385" s="2">
        <v>20250731</v>
      </c>
      <c r="G385" s="2">
        <v>20250731</v>
      </c>
      <c r="H385" s="2">
        <v>20250731</v>
      </c>
      <c r="I385" s="44"/>
      <c r="M385" s="40" t="s">
        <v>367</v>
      </c>
      <c r="N385" s="42"/>
      <c r="P385" s="47">
        <v>307030</v>
      </c>
      <c r="R385" s="47" t="s">
        <v>699</v>
      </c>
    </row>
    <row r="386" spans="1:18">
      <c r="A386" s="2">
        <v>1</v>
      </c>
      <c r="B386" s="2">
        <v>385</v>
      </c>
      <c r="C386" s="38">
        <v>95211202</v>
      </c>
      <c r="D386" s="4"/>
      <c r="E386" s="43" t="s">
        <v>698</v>
      </c>
      <c r="F386" s="2">
        <v>20250731</v>
      </c>
      <c r="G386" s="2">
        <v>20250731</v>
      </c>
      <c r="H386" s="2">
        <v>20250731</v>
      </c>
      <c r="I386" s="44"/>
      <c r="M386" s="40" t="s">
        <v>368</v>
      </c>
      <c r="N386" s="42"/>
      <c r="P386" s="47">
        <v>307030</v>
      </c>
      <c r="R386" s="47" t="s">
        <v>699</v>
      </c>
    </row>
    <row r="387" spans="1:18">
      <c r="A387" s="2">
        <v>1</v>
      </c>
      <c r="B387" s="2">
        <v>386</v>
      </c>
      <c r="C387" s="38">
        <v>95211202</v>
      </c>
      <c r="D387" s="4"/>
      <c r="E387" s="43" t="s">
        <v>698</v>
      </c>
      <c r="F387" s="2">
        <v>20250731</v>
      </c>
      <c r="G387" s="2">
        <v>20250731</v>
      </c>
      <c r="H387" s="2">
        <v>20250731</v>
      </c>
      <c r="I387" s="44"/>
      <c r="M387" s="40" t="s">
        <v>369</v>
      </c>
      <c r="N387" s="42"/>
      <c r="P387" s="47">
        <v>307030</v>
      </c>
      <c r="R387" s="47" t="s">
        <v>699</v>
      </c>
    </row>
    <row r="388" spans="1:18">
      <c r="A388" s="2">
        <v>1</v>
      </c>
      <c r="B388" s="2">
        <v>387</v>
      </c>
      <c r="C388" s="38">
        <v>95211202</v>
      </c>
      <c r="D388" s="4"/>
      <c r="E388" s="43" t="s">
        <v>698</v>
      </c>
      <c r="F388" s="2">
        <v>20250731</v>
      </c>
      <c r="G388" s="2">
        <v>20250731</v>
      </c>
      <c r="H388" s="2">
        <v>20250731</v>
      </c>
      <c r="I388" s="44"/>
      <c r="M388" s="40" t="s">
        <v>370</v>
      </c>
      <c r="N388" s="42"/>
      <c r="P388" s="47">
        <v>307030</v>
      </c>
      <c r="R388" s="47" t="s">
        <v>699</v>
      </c>
    </row>
    <row r="389" spans="1:18">
      <c r="A389" s="2">
        <v>1</v>
      </c>
      <c r="B389" s="2">
        <v>388</v>
      </c>
      <c r="C389" s="38">
        <v>95211202</v>
      </c>
      <c r="D389" s="4"/>
      <c r="E389" s="43" t="s">
        <v>698</v>
      </c>
      <c r="F389" s="2">
        <v>20250731</v>
      </c>
      <c r="G389" s="2">
        <v>20250731</v>
      </c>
      <c r="H389" s="2">
        <v>20250731</v>
      </c>
      <c r="I389" s="44"/>
      <c r="M389" s="40" t="s">
        <v>371</v>
      </c>
      <c r="N389" s="42"/>
      <c r="P389" s="47">
        <v>307030</v>
      </c>
      <c r="R389" s="47" t="s">
        <v>699</v>
      </c>
    </row>
    <row r="390" spans="1:18">
      <c r="A390" s="2">
        <v>1</v>
      </c>
      <c r="B390" s="2">
        <v>389</v>
      </c>
      <c r="C390" s="38">
        <v>95211202</v>
      </c>
      <c r="D390" s="4"/>
      <c r="E390" s="43" t="s">
        <v>698</v>
      </c>
      <c r="F390" s="2">
        <v>20250731</v>
      </c>
      <c r="G390" s="2">
        <v>20250731</v>
      </c>
      <c r="H390" s="2">
        <v>20250731</v>
      </c>
      <c r="I390" s="44"/>
      <c r="M390" s="40" t="s">
        <v>372</v>
      </c>
      <c r="N390" s="42"/>
      <c r="P390" s="47">
        <v>307030</v>
      </c>
      <c r="R390" s="47" t="s">
        <v>699</v>
      </c>
    </row>
    <row r="391" spans="1:18">
      <c r="A391" s="2">
        <v>1</v>
      </c>
      <c r="B391" s="2">
        <v>390</v>
      </c>
      <c r="C391" s="38">
        <v>95211202</v>
      </c>
      <c r="D391" s="4"/>
      <c r="E391" s="43" t="s">
        <v>698</v>
      </c>
      <c r="F391" s="2">
        <v>20250731</v>
      </c>
      <c r="G391" s="2">
        <v>20250731</v>
      </c>
      <c r="H391" s="2">
        <v>20250731</v>
      </c>
      <c r="I391" s="44"/>
      <c r="M391" s="40" t="s">
        <v>373</v>
      </c>
      <c r="N391" s="42"/>
      <c r="P391" s="47">
        <v>307030</v>
      </c>
      <c r="R391" s="47" t="s">
        <v>699</v>
      </c>
    </row>
    <row r="392" spans="1:18">
      <c r="A392" s="2">
        <v>1</v>
      </c>
      <c r="B392" s="2">
        <v>391</v>
      </c>
      <c r="C392" s="38">
        <v>95211202</v>
      </c>
      <c r="D392" s="4"/>
      <c r="E392" s="43" t="s">
        <v>698</v>
      </c>
      <c r="F392" s="2">
        <v>20250731</v>
      </c>
      <c r="G392" s="2">
        <v>20250731</v>
      </c>
      <c r="H392" s="2">
        <v>20250731</v>
      </c>
      <c r="I392" s="44"/>
      <c r="M392" s="40" t="s">
        <v>374</v>
      </c>
      <c r="N392" s="42"/>
      <c r="P392" s="47">
        <v>307030</v>
      </c>
      <c r="R392" s="47" t="s">
        <v>699</v>
      </c>
    </row>
    <row r="393" spans="1:18">
      <c r="A393" s="2">
        <v>1</v>
      </c>
      <c r="B393" s="2">
        <v>392</v>
      </c>
      <c r="C393" s="38">
        <v>95211202</v>
      </c>
      <c r="D393" s="4"/>
      <c r="E393" s="43" t="s">
        <v>698</v>
      </c>
      <c r="F393" s="2">
        <v>20250731</v>
      </c>
      <c r="G393" s="2">
        <v>20250731</v>
      </c>
      <c r="H393" s="2">
        <v>20250731</v>
      </c>
      <c r="I393" s="44"/>
      <c r="M393" s="40" t="s">
        <v>375</v>
      </c>
      <c r="N393" s="42"/>
      <c r="P393" s="47">
        <v>307030</v>
      </c>
      <c r="R393" s="47" t="s">
        <v>699</v>
      </c>
    </row>
    <row r="394" spans="1:18">
      <c r="A394" s="2">
        <v>1</v>
      </c>
      <c r="B394" s="2">
        <v>393</v>
      </c>
      <c r="C394" s="38">
        <v>95211202</v>
      </c>
      <c r="D394" s="4"/>
      <c r="E394" s="43" t="s">
        <v>698</v>
      </c>
      <c r="F394" s="2">
        <v>20250731</v>
      </c>
      <c r="G394" s="2">
        <v>20250731</v>
      </c>
      <c r="H394" s="2">
        <v>20250731</v>
      </c>
      <c r="I394" s="44"/>
      <c r="M394" s="40" t="s">
        <v>376</v>
      </c>
      <c r="N394" s="42"/>
      <c r="P394" s="47">
        <v>307030</v>
      </c>
      <c r="R394" s="47" t="s">
        <v>699</v>
      </c>
    </row>
    <row r="395" spans="1:18">
      <c r="A395" s="2">
        <v>1</v>
      </c>
      <c r="B395" s="2">
        <v>394</v>
      </c>
      <c r="C395" s="38">
        <v>95211202</v>
      </c>
      <c r="D395" s="4"/>
      <c r="E395" s="43" t="s">
        <v>698</v>
      </c>
      <c r="F395" s="2">
        <v>20250731</v>
      </c>
      <c r="G395" s="2">
        <v>20250731</v>
      </c>
      <c r="H395" s="2">
        <v>20250731</v>
      </c>
      <c r="I395" s="44"/>
      <c r="M395" s="40" t="s">
        <v>118</v>
      </c>
      <c r="N395" s="42"/>
      <c r="P395" s="47">
        <v>307030</v>
      </c>
      <c r="R395" s="47" t="s">
        <v>699</v>
      </c>
    </row>
    <row r="396" spans="1:18">
      <c r="A396" s="2">
        <v>1</v>
      </c>
      <c r="B396" s="2">
        <v>395</v>
      </c>
      <c r="C396" s="38">
        <v>95211202</v>
      </c>
      <c r="D396" s="4"/>
      <c r="E396" s="43" t="s">
        <v>698</v>
      </c>
      <c r="F396" s="2">
        <v>20250731</v>
      </c>
      <c r="G396" s="2">
        <v>20250731</v>
      </c>
      <c r="H396" s="2">
        <v>20250731</v>
      </c>
      <c r="I396" s="44"/>
      <c r="M396" s="40" t="s">
        <v>377</v>
      </c>
      <c r="N396" s="42"/>
      <c r="P396" s="47">
        <v>307030</v>
      </c>
      <c r="R396" s="47" t="s">
        <v>699</v>
      </c>
    </row>
    <row r="397" spans="1:18">
      <c r="A397" s="2">
        <v>1</v>
      </c>
      <c r="B397" s="2">
        <v>396</v>
      </c>
      <c r="C397" s="38">
        <v>95211202</v>
      </c>
      <c r="D397" s="4"/>
      <c r="E397" s="43" t="s">
        <v>698</v>
      </c>
      <c r="F397" s="2">
        <v>20250731</v>
      </c>
      <c r="G397" s="2">
        <v>20250731</v>
      </c>
      <c r="H397" s="2">
        <v>20250731</v>
      </c>
      <c r="I397" s="44"/>
      <c r="M397" s="40" t="s">
        <v>378</v>
      </c>
      <c r="N397" s="42"/>
      <c r="P397" s="47">
        <v>307030</v>
      </c>
      <c r="R397" s="47" t="s">
        <v>699</v>
      </c>
    </row>
    <row r="398" spans="1:18">
      <c r="A398" s="2">
        <v>1</v>
      </c>
      <c r="B398" s="2">
        <v>397</v>
      </c>
      <c r="C398" s="38">
        <v>95211202</v>
      </c>
      <c r="D398" s="4"/>
      <c r="E398" s="43" t="s">
        <v>698</v>
      </c>
      <c r="F398" s="2">
        <v>20250731</v>
      </c>
      <c r="G398" s="2">
        <v>20250731</v>
      </c>
      <c r="H398" s="2">
        <v>20250731</v>
      </c>
      <c r="I398" s="44"/>
      <c r="M398" s="40" t="s">
        <v>379</v>
      </c>
      <c r="N398" s="42"/>
      <c r="P398" s="47">
        <v>307030</v>
      </c>
      <c r="R398" s="47" t="s">
        <v>699</v>
      </c>
    </row>
    <row r="399" spans="1:18">
      <c r="A399" s="2">
        <v>1</v>
      </c>
      <c r="B399" s="2">
        <v>398</v>
      </c>
      <c r="C399" s="38">
        <v>95211202</v>
      </c>
      <c r="D399" s="4"/>
      <c r="E399" s="43" t="s">
        <v>698</v>
      </c>
      <c r="F399" s="2">
        <v>20250731</v>
      </c>
      <c r="G399" s="2">
        <v>20250731</v>
      </c>
      <c r="H399" s="2">
        <v>20250731</v>
      </c>
      <c r="I399" s="44"/>
      <c r="M399" s="40" t="s">
        <v>380</v>
      </c>
      <c r="N399" s="42"/>
      <c r="P399" s="47">
        <v>307030</v>
      </c>
      <c r="R399" s="47" t="s">
        <v>699</v>
      </c>
    </row>
    <row r="400" spans="1:18">
      <c r="A400" s="2">
        <v>1</v>
      </c>
      <c r="B400" s="2">
        <v>399</v>
      </c>
      <c r="C400" s="38">
        <v>95211202</v>
      </c>
      <c r="D400" s="4"/>
      <c r="E400" s="43" t="s">
        <v>698</v>
      </c>
      <c r="F400" s="2">
        <v>20250731</v>
      </c>
      <c r="G400" s="2">
        <v>20250731</v>
      </c>
      <c r="H400" s="2">
        <v>20250731</v>
      </c>
      <c r="I400" s="44"/>
      <c r="M400" s="40" t="s">
        <v>381</v>
      </c>
      <c r="N400" s="42"/>
      <c r="P400" s="47">
        <v>307030</v>
      </c>
      <c r="R400" s="47" t="s">
        <v>699</v>
      </c>
    </row>
    <row r="401" spans="1:18">
      <c r="A401" s="2">
        <v>1</v>
      </c>
      <c r="B401" s="2">
        <v>400</v>
      </c>
      <c r="C401" s="38">
        <v>95211202</v>
      </c>
      <c r="D401" s="4"/>
      <c r="E401" s="43" t="s">
        <v>698</v>
      </c>
      <c r="F401" s="2">
        <v>20250731</v>
      </c>
      <c r="G401" s="2">
        <v>20250731</v>
      </c>
      <c r="H401" s="2">
        <v>20250731</v>
      </c>
      <c r="I401" s="44"/>
      <c r="M401" s="40" t="s">
        <v>382</v>
      </c>
      <c r="N401" s="42"/>
      <c r="P401" s="47">
        <v>307030</v>
      </c>
      <c r="R401" s="47" t="s">
        <v>699</v>
      </c>
    </row>
    <row r="402" spans="1:18">
      <c r="A402" s="2">
        <v>1</v>
      </c>
      <c r="B402" s="2">
        <v>401</v>
      </c>
      <c r="C402" s="38">
        <v>95211202</v>
      </c>
      <c r="D402" s="4"/>
      <c r="E402" s="43" t="s">
        <v>698</v>
      </c>
      <c r="F402" s="2">
        <v>20250731</v>
      </c>
      <c r="G402" s="2">
        <v>20250731</v>
      </c>
      <c r="H402" s="2">
        <v>20250731</v>
      </c>
      <c r="I402" s="44"/>
      <c r="M402" s="40" t="s">
        <v>140</v>
      </c>
      <c r="N402" s="42"/>
      <c r="P402" s="47">
        <v>307030</v>
      </c>
      <c r="R402" s="47" t="s">
        <v>699</v>
      </c>
    </row>
    <row r="403" spans="1:18">
      <c r="A403" s="2">
        <v>1</v>
      </c>
      <c r="B403" s="2">
        <v>402</v>
      </c>
      <c r="C403" s="38">
        <v>95211203</v>
      </c>
      <c r="D403" s="4"/>
      <c r="E403" s="43" t="s">
        <v>698</v>
      </c>
      <c r="F403" s="2">
        <v>20250731</v>
      </c>
      <c r="G403" s="2">
        <v>20250731</v>
      </c>
      <c r="H403" s="2">
        <v>20250731</v>
      </c>
      <c r="I403" s="44"/>
      <c r="M403" s="40" t="s">
        <v>383</v>
      </c>
      <c r="N403" s="42"/>
      <c r="P403" s="47">
        <v>307030</v>
      </c>
      <c r="R403" s="47" t="s">
        <v>699</v>
      </c>
    </row>
    <row r="404" spans="1:18">
      <c r="A404" s="2">
        <v>1</v>
      </c>
      <c r="B404" s="2">
        <v>403</v>
      </c>
      <c r="C404" s="38">
        <v>95211203</v>
      </c>
      <c r="D404" s="4"/>
      <c r="E404" s="43" t="s">
        <v>698</v>
      </c>
      <c r="F404" s="2">
        <v>20250731</v>
      </c>
      <c r="G404" s="2">
        <v>20250731</v>
      </c>
      <c r="H404" s="2">
        <v>20250731</v>
      </c>
      <c r="I404" s="44"/>
      <c r="M404" s="40" t="s">
        <v>152</v>
      </c>
      <c r="N404" s="42"/>
      <c r="P404" s="47">
        <v>307030</v>
      </c>
      <c r="R404" s="47" t="s">
        <v>699</v>
      </c>
    </row>
    <row r="405" spans="1:18">
      <c r="A405" s="2">
        <v>1</v>
      </c>
      <c r="B405" s="2">
        <v>404</v>
      </c>
      <c r="C405" s="38">
        <v>95211203</v>
      </c>
      <c r="D405" s="4"/>
      <c r="E405" s="43" t="s">
        <v>698</v>
      </c>
      <c r="F405" s="2">
        <v>20250731</v>
      </c>
      <c r="G405" s="2">
        <v>20250731</v>
      </c>
      <c r="H405" s="2">
        <v>20250731</v>
      </c>
      <c r="I405" s="44"/>
      <c r="M405" s="40" t="s">
        <v>332</v>
      </c>
      <c r="N405" s="42"/>
      <c r="P405" s="47">
        <v>307030</v>
      </c>
      <c r="R405" s="47" t="s">
        <v>699</v>
      </c>
    </row>
    <row r="406" spans="1:18">
      <c r="A406" s="2">
        <v>1</v>
      </c>
      <c r="B406" s="2">
        <v>405</v>
      </c>
      <c r="C406" s="38">
        <v>95211203</v>
      </c>
      <c r="D406" s="4"/>
      <c r="E406" s="43" t="s">
        <v>698</v>
      </c>
      <c r="F406" s="2">
        <v>20250731</v>
      </c>
      <c r="G406" s="2">
        <v>20250731</v>
      </c>
      <c r="H406" s="2">
        <v>20250731</v>
      </c>
      <c r="I406" s="44"/>
      <c r="M406" s="40" t="s">
        <v>384</v>
      </c>
      <c r="N406" s="42"/>
      <c r="P406" s="47">
        <v>307030</v>
      </c>
      <c r="R406" s="47" t="s">
        <v>699</v>
      </c>
    </row>
    <row r="407" spans="1:18">
      <c r="A407" s="2">
        <v>1</v>
      </c>
      <c r="B407" s="2">
        <v>406</v>
      </c>
      <c r="C407" s="38">
        <v>95211203</v>
      </c>
      <c r="D407" s="4"/>
      <c r="E407" s="43" t="s">
        <v>698</v>
      </c>
      <c r="F407" s="2">
        <v>20250731</v>
      </c>
      <c r="G407" s="2">
        <v>20250731</v>
      </c>
      <c r="H407" s="2">
        <v>20250731</v>
      </c>
      <c r="I407" s="44"/>
      <c r="M407" s="40" t="s">
        <v>385</v>
      </c>
      <c r="N407" s="42"/>
      <c r="P407" s="47">
        <v>307030</v>
      </c>
      <c r="R407" s="47" t="s">
        <v>699</v>
      </c>
    </row>
    <row r="408" spans="1:18">
      <c r="A408" s="2">
        <v>1</v>
      </c>
      <c r="B408" s="2">
        <v>407</v>
      </c>
      <c r="C408" s="38">
        <v>95211203</v>
      </c>
      <c r="D408" s="4"/>
      <c r="E408" s="43" t="s">
        <v>698</v>
      </c>
      <c r="F408" s="2">
        <v>20250731</v>
      </c>
      <c r="G408" s="2">
        <v>20250731</v>
      </c>
      <c r="H408" s="2">
        <v>20250731</v>
      </c>
      <c r="I408" s="44"/>
      <c r="M408" s="40" t="s">
        <v>136</v>
      </c>
      <c r="N408" s="42"/>
      <c r="P408" s="47">
        <v>307030</v>
      </c>
      <c r="R408" s="47" t="s">
        <v>699</v>
      </c>
    </row>
    <row r="409" spans="1:18">
      <c r="A409" s="2">
        <v>1</v>
      </c>
      <c r="B409" s="2">
        <v>408</v>
      </c>
      <c r="C409" s="38">
        <v>95211203</v>
      </c>
      <c r="D409" s="4"/>
      <c r="E409" s="43" t="s">
        <v>698</v>
      </c>
      <c r="F409" s="2">
        <v>20250731</v>
      </c>
      <c r="G409" s="2">
        <v>20250731</v>
      </c>
      <c r="H409" s="2">
        <v>20250731</v>
      </c>
      <c r="I409" s="44"/>
      <c r="M409" s="40" t="s">
        <v>386</v>
      </c>
      <c r="N409" s="42"/>
      <c r="P409" s="47">
        <v>307030</v>
      </c>
      <c r="R409" s="47" t="s">
        <v>699</v>
      </c>
    </row>
    <row r="410" spans="1:18">
      <c r="A410" s="2">
        <v>1</v>
      </c>
      <c r="B410" s="2">
        <v>409</v>
      </c>
      <c r="C410" s="38">
        <v>95211203</v>
      </c>
      <c r="D410" s="4"/>
      <c r="E410" s="43" t="s">
        <v>698</v>
      </c>
      <c r="F410" s="2">
        <v>20250731</v>
      </c>
      <c r="G410" s="2">
        <v>20250731</v>
      </c>
      <c r="H410" s="2">
        <v>20250731</v>
      </c>
      <c r="I410" s="44"/>
      <c r="M410" s="40" t="s">
        <v>387</v>
      </c>
      <c r="N410" s="42"/>
      <c r="P410" s="47">
        <v>307030</v>
      </c>
      <c r="R410" s="47" t="s">
        <v>699</v>
      </c>
    </row>
    <row r="411" spans="1:18">
      <c r="A411" s="2">
        <v>1</v>
      </c>
      <c r="B411" s="2">
        <v>410</v>
      </c>
      <c r="C411" s="38">
        <v>95211203</v>
      </c>
      <c r="D411" s="4"/>
      <c r="E411" s="43" t="s">
        <v>698</v>
      </c>
      <c r="F411" s="2">
        <v>20250731</v>
      </c>
      <c r="G411" s="2">
        <v>20250731</v>
      </c>
      <c r="H411" s="2">
        <v>20250731</v>
      </c>
      <c r="I411" s="44"/>
      <c r="M411" s="40" t="s">
        <v>388</v>
      </c>
      <c r="N411" s="42"/>
      <c r="P411" s="47">
        <v>307030</v>
      </c>
      <c r="R411" s="47" t="s">
        <v>699</v>
      </c>
    </row>
    <row r="412" spans="1:18">
      <c r="A412" s="2">
        <v>1</v>
      </c>
      <c r="B412" s="2">
        <v>411</v>
      </c>
      <c r="C412" s="38">
        <v>95221104</v>
      </c>
      <c r="D412" s="4"/>
      <c r="E412" s="43" t="s">
        <v>698</v>
      </c>
      <c r="F412" s="2">
        <v>20250731</v>
      </c>
      <c r="G412" s="2">
        <v>20250731</v>
      </c>
      <c r="H412" s="2">
        <v>20250731</v>
      </c>
      <c r="I412" s="44"/>
      <c r="M412" s="40" t="s">
        <v>152</v>
      </c>
      <c r="N412" s="42"/>
      <c r="P412" s="47">
        <v>307030</v>
      </c>
      <c r="R412" s="47" t="s">
        <v>699</v>
      </c>
    </row>
    <row r="413" spans="1:18">
      <c r="A413" s="2">
        <v>1</v>
      </c>
      <c r="B413" s="2">
        <v>412</v>
      </c>
      <c r="C413" s="38">
        <v>95221104</v>
      </c>
      <c r="D413" s="4"/>
      <c r="E413" s="43" t="s">
        <v>698</v>
      </c>
      <c r="F413" s="2">
        <v>20250731</v>
      </c>
      <c r="G413" s="2">
        <v>20250731</v>
      </c>
      <c r="H413" s="2">
        <v>20250731</v>
      </c>
      <c r="I413" s="44"/>
      <c r="M413" s="40" t="s">
        <v>137</v>
      </c>
      <c r="N413" s="42"/>
      <c r="P413" s="47">
        <v>307030</v>
      </c>
      <c r="R413" s="47" t="s">
        <v>699</v>
      </c>
    </row>
    <row r="414" spans="1:18">
      <c r="A414" s="2">
        <v>1</v>
      </c>
      <c r="B414" s="2">
        <v>413</v>
      </c>
      <c r="C414" s="38">
        <v>95221104</v>
      </c>
      <c r="D414" s="4"/>
      <c r="E414" s="43" t="s">
        <v>698</v>
      </c>
      <c r="F414" s="2">
        <v>20250731</v>
      </c>
      <c r="G414" s="2">
        <v>20250731</v>
      </c>
      <c r="H414" s="2">
        <v>20250731</v>
      </c>
      <c r="I414" s="44"/>
      <c r="M414" s="40" t="s">
        <v>152</v>
      </c>
      <c r="N414" s="42"/>
      <c r="P414" s="47">
        <v>307030</v>
      </c>
      <c r="R414" s="47" t="s">
        <v>699</v>
      </c>
    </row>
    <row r="415" spans="1:18">
      <c r="A415" s="2">
        <v>1</v>
      </c>
      <c r="B415" s="2">
        <v>414</v>
      </c>
      <c r="C415" s="38">
        <v>95221104</v>
      </c>
      <c r="D415" s="4"/>
      <c r="E415" s="43" t="s">
        <v>698</v>
      </c>
      <c r="F415" s="2">
        <v>20250731</v>
      </c>
      <c r="G415" s="2">
        <v>20250731</v>
      </c>
      <c r="H415" s="2">
        <v>20250731</v>
      </c>
      <c r="I415" s="44"/>
      <c r="M415" s="40" t="s">
        <v>152</v>
      </c>
      <c r="N415" s="42"/>
      <c r="P415" s="47">
        <v>307030</v>
      </c>
      <c r="R415" s="47" t="s">
        <v>699</v>
      </c>
    </row>
    <row r="416" spans="1:18">
      <c r="A416" s="2">
        <v>1</v>
      </c>
      <c r="B416" s="2">
        <v>415</v>
      </c>
      <c r="C416" s="38">
        <v>95221104</v>
      </c>
      <c r="D416" s="4"/>
      <c r="E416" s="43" t="s">
        <v>698</v>
      </c>
      <c r="F416" s="2">
        <v>20250731</v>
      </c>
      <c r="G416" s="2">
        <v>20250731</v>
      </c>
      <c r="H416" s="2">
        <v>20250731</v>
      </c>
      <c r="I416" s="44"/>
      <c r="M416" s="40" t="s">
        <v>122</v>
      </c>
      <c r="N416" s="42"/>
      <c r="P416" s="47">
        <v>307030</v>
      </c>
      <c r="R416" s="47" t="s">
        <v>699</v>
      </c>
    </row>
    <row r="417" spans="1:18">
      <c r="A417" s="2">
        <v>1</v>
      </c>
      <c r="B417" s="2">
        <v>416</v>
      </c>
      <c r="C417" s="38">
        <v>95221104</v>
      </c>
      <c r="D417" s="4"/>
      <c r="E417" s="43" t="s">
        <v>698</v>
      </c>
      <c r="F417" s="2">
        <v>20250731</v>
      </c>
      <c r="G417" s="2">
        <v>20250731</v>
      </c>
      <c r="H417" s="2">
        <v>20250731</v>
      </c>
      <c r="I417" s="44"/>
      <c r="M417" s="40" t="s">
        <v>122</v>
      </c>
      <c r="N417" s="42"/>
      <c r="P417" s="47">
        <v>307030</v>
      </c>
      <c r="R417" s="47" t="s">
        <v>699</v>
      </c>
    </row>
    <row r="418" spans="1:18">
      <c r="A418" s="2">
        <v>1</v>
      </c>
      <c r="B418" s="2">
        <v>417</v>
      </c>
      <c r="C418" s="38">
        <v>95221104</v>
      </c>
      <c r="D418" s="4"/>
      <c r="E418" s="43" t="s">
        <v>698</v>
      </c>
      <c r="F418" s="2">
        <v>20250731</v>
      </c>
      <c r="G418" s="2">
        <v>20250731</v>
      </c>
      <c r="H418" s="2">
        <v>20250731</v>
      </c>
      <c r="I418" s="44"/>
      <c r="M418" s="40" t="s">
        <v>123</v>
      </c>
      <c r="N418" s="42"/>
      <c r="P418" s="47">
        <v>307030</v>
      </c>
      <c r="R418" s="47" t="s">
        <v>699</v>
      </c>
    </row>
    <row r="419" spans="1:18">
      <c r="A419" s="2">
        <v>1</v>
      </c>
      <c r="B419" s="2">
        <v>418</v>
      </c>
      <c r="C419" s="38">
        <v>95221104</v>
      </c>
      <c r="D419" s="4"/>
      <c r="E419" s="43" t="s">
        <v>698</v>
      </c>
      <c r="F419" s="2">
        <v>20250731</v>
      </c>
      <c r="G419" s="2">
        <v>20250731</v>
      </c>
      <c r="H419" s="2">
        <v>20250731</v>
      </c>
      <c r="I419" s="44"/>
      <c r="M419" s="40" t="s">
        <v>389</v>
      </c>
      <c r="N419" s="42"/>
      <c r="P419" s="47">
        <v>307030</v>
      </c>
      <c r="R419" s="47" t="s">
        <v>699</v>
      </c>
    </row>
    <row r="420" spans="1:18">
      <c r="A420" s="2">
        <v>1</v>
      </c>
      <c r="B420" s="2">
        <v>419</v>
      </c>
      <c r="C420" s="38">
        <v>95221104</v>
      </c>
      <c r="D420" s="4"/>
      <c r="E420" s="43" t="s">
        <v>698</v>
      </c>
      <c r="F420" s="2">
        <v>20250731</v>
      </c>
      <c r="G420" s="2">
        <v>20250731</v>
      </c>
      <c r="H420" s="2">
        <v>20250731</v>
      </c>
      <c r="I420" s="44"/>
      <c r="M420" s="40" t="s">
        <v>185</v>
      </c>
      <c r="N420" s="42"/>
      <c r="P420" s="47">
        <v>307030</v>
      </c>
      <c r="R420" s="47" t="s">
        <v>699</v>
      </c>
    </row>
    <row r="421" spans="1:18">
      <c r="A421" s="2">
        <v>1</v>
      </c>
      <c r="B421" s="2">
        <v>420</v>
      </c>
      <c r="C421" s="38">
        <v>95221104</v>
      </c>
      <c r="D421" s="4"/>
      <c r="E421" s="43" t="s">
        <v>698</v>
      </c>
      <c r="F421" s="2">
        <v>20250731</v>
      </c>
      <c r="G421" s="2">
        <v>20250731</v>
      </c>
      <c r="H421" s="2">
        <v>20250731</v>
      </c>
      <c r="I421" s="44"/>
      <c r="M421" s="40" t="s">
        <v>122</v>
      </c>
      <c r="N421" s="42"/>
      <c r="P421" s="47">
        <v>307030</v>
      </c>
      <c r="R421" s="47" t="s">
        <v>699</v>
      </c>
    </row>
    <row r="422" spans="1:18">
      <c r="A422" s="2">
        <v>1</v>
      </c>
      <c r="B422" s="2">
        <v>421</v>
      </c>
      <c r="C422" s="38">
        <v>95221104</v>
      </c>
      <c r="D422" s="4"/>
      <c r="E422" s="43" t="s">
        <v>698</v>
      </c>
      <c r="F422" s="2">
        <v>20250731</v>
      </c>
      <c r="G422" s="2">
        <v>20250731</v>
      </c>
      <c r="H422" s="2">
        <v>20250731</v>
      </c>
      <c r="I422" s="44"/>
      <c r="M422" s="40" t="s">
        <v>154</v>
      </c>
      <c r="N422" s="42"/>
      <c r="P422" s="47">
        <v>307030</v>
      </c>
      <c r="R422" s="47" t="s">
        <v>699</v>
      </c>
    </row>
    <row r="423" spans="1:18">
      <c r="A423" s="2">
        <v>1</v>
      </c>
      <c r="B423" s="2">
        <v>422</v>
      </c>
      <c r="C423" s="38">
        <v>95221104</v>
      </c>
      <c r="D423" s="4"/>
      <c r="E423" s="43" t="s">
        <v>698</v>
      </c>
      <c r="F423" s="2">
        <v>20250731</v>
      </c>
      <c r="G423" s="2">
        <v>20250731</v>
      </c>
      <c r="H423" s="2">
        <v>20250731</v>
      </c>
      <c r="I423" s="44"/>
      <c r="M423" s="40" t="s">
        <v>390</v>
      </c>
      <c r="N423" s="42"/>
      <c r="P423" s="47">
        <v>307030</v>
      </c>
      <c r="R423" s="47" t="s">
        <v>699</v>
      </c>
    </row>
    <row r="424" spans="1:18">
      <c r="A424" s="2">
        <v>1</v>
      </c>
      <c r="B424" s="2">
        <v>423</v>
      </c>
      <c r="C424" s="38">
        <v>95211105</v>
      </c>
      <c r="D424" s="4"/>
      <c r="E424" s="43" t="s">
        <v>698</v>
      </c>
      <c r="F424" s="2">
        <v>20250731</v>
      </c>
      <c r="G424" s="2">
        <v>20250731</v>
      </c>
      <c r="H424" s="2">
        <v>20250731</v>
      </c>
      <c r="I424" s="40" t="s">
        <v>718</v>
      </c>
      <c r="M424" s="40" t="s">
        <v>154</v>
      </c>
      <c r="N424" s="42"/>
      <c r="P424" s="47">
        <v>307030</v>
      </c>
      <c r="R424" s="47" t="s">
        <v>699</v>
      </c>
    </row>
    <row r="425" spans="1:18">
      <c r="A425" s="2">
        <v>1</v>
      </c>
      <c r="B425" s="2">
        <v>424</v>
      </c>
      <c r="C425" s="38">
        <v>95211105</v>
      </c>
      <c r="D425" s="4"/>
      <c r="E425" s="43" t="s">
        <v>698</v>
      </c>
      <c r="F425" s="2">
        <v>20250731</v>
      </c>
      <c r="G425" s="2">
        <v>20250731</v>
      </c>
      <c r="H425" s="2">
        <v>20250731</v>
      </c>
      <c r="I425" s="40" t="s">
        <v>722</v>
      </c>
      <c r="M425" s="40" t="s">
        <v>154</v>
      </c>
      <c r="N425" s="42"/>
      <c r="P425" s="47">
        <v>307030</v>
      </c>
      <c r="R425" s="47" t="s">
        <v>699</v>
      </c>
    </row>
    <row r="426" spans="1:18">
      <c r="A426" s="2">
        <v>1</v>
      </c>
      <c r="B426" s="2">
        <v>425</v>
      </c>
      <c r="C426" s="38">
        <v>95211105</v>
      </c>
      <c r="D426" s="4"/>
      <c r="E426" s="43" t="s">
        <v>698</v>
      </c>
      <c r="F426" s="2">
        <v>20250731</v>
      </c>
      <c r="G426" s="2">
        <v>20250731</v>
      </c>
      <c r="H426" s="2">
        <v>20250731</v>
      </c>
      <c r="I426" s="40" t="s">
        <v>898</v>
      </c>
      <c r="M426" s="40" t="s">
        <v>126</v>
      </c>
      <c r="N426" s="42"/>
      <c r="P426" s="47">
        <v>307030</v>
      </c>
      <c r="R426" s="47" t="s">
        <v>699</v>
      </c>
    </row>
    <row r="427" spans="1:18">
      <c r="A427" s="2">
        <v>1</v>
      </c>
      <c r="B427" s="2">
        <v>426</v>
      </c>
      <c r="C427" s="38">
        <v>95211105</v>
      </c>
      <c r="D427" s="4"/>
      <c r="E427" s="43" t="s">
        <v>698</v>
      </c>
      <c r="F427" s="2">
        <v>20250731</v>
      </c>
      <c r="G427" s="2">
        <v>20250731</v>
      </c>
      <c r="H427" s="2">
        <v>20250731</v>
      </c>
      <c r="I427" s="40" t="s">
        <v>730</v>
      </c>
      <c r="M427" s="40" t="s">
        <v>154</v>
      </c>
      <c r="N427" s="42"/>
      <c r="P427" s="47">
        <v>307030</v>
      </c>
      <c r="R427" s="47" t="s">
        <v>699</v>
      </c>
    </row>
    <row r="428" spans="1:18">
      <c r="A428" s="2">
        <v>1</v>
      </c>
      <c r="B428" s="2">
        <v>427</v>
      </c>
      <c r="C428" s="38">
        <v>95211105</v>
      </c>
      <c r="D428" s="4"/>
      <c r="E428" s="43" t="s">
        <v>698</v>
      </c>
      <c r="F428" s="2">
        <v>20250731</v>
      </c>
      <c r="G428" s="2">
        <v>20250731</v>
      </c>
      <c r="H428" s="2">
        <v>20250731</v>
      </c>
      <c r="I428" s="40" t="s">
        <v>883</v>
      </c>
      <c r="M428" s="40" t="s">
        <v>154</v>
      </c>
      <c r="N428" s="42"/>
      <c r="P428" s="47">
        <v>307030</v>
      </c>
      <c r="R428" s="47" t="s">
        <v>699</v>
      </c>
    </row>
    <row r="429" spans="1:18">
      <c r="A429" s="2">
        <v>1</v>
      </c>
      <c r="B429" s="2">
        <v>428</v>
      </c>
      <c r="C429" s="38">
        <v>95211105</v>
      </c>
      <c r="D429" s="4"/>
      <c r="E429" s="43" t="s">
        <v>698</v>
      </c>
      <c r="F429" s="2">
        <v>20250731</v>
      </c>
      <c r="G429" s="2">
        <v>20250731</v>
      </c>
      <c r="H429" s="2">
        <v>20250731</v>
      </c>
      <c r="I429" s="40" t="s">
        <v>879</v>
      </c>
      <c r="M429" s="40" t="s">
        <v>154</v>
      </c>
      <c r="N429" s="42"/>
      <c r="P429" s="47">
        <v>307030</v>
      </c>
      <c r="R429" s="47" t="s">
        <v>699</v>
      </c>
    </row>
    <row r="430" spans="1:18">
      <c r="A430" s="2">
        <v>1</v>
      </c>
      <c r="B430" s="2">
        <v>429</v>
      </c>
      <c r="C430" s="38">
        <v>95211105</v>
      </c>
      <c r="D430" s="4"/>
      <c r="E430" s="43" t="s">
        <v>698</v>
      </c>
      <c r="F430" s="2">
        <v>20250731</v>
      </c>
      <c r="G430" s="2">
        <v>20250731</v>
      </c>
      <c r="H430" s="2">
        <v>20250731</v>
      </c>
      <c r="I430" s="40" t="s">
        <v>867</v>
      </c>
      <c r="M430" s="40" t="s">
        <v>154</v>
      </c>
      <c r="N430" s="42"/>
      <c r="P430" s="47">
        <v>307030</v>
      </c>
      <c r="R430" s="47" t="s">
        <v>699</v>
      </c>
    </row>
    <row r="431" spans="1:18">
      <c r="A431" s="2">
        <v>1</v>
      </c>
      <c r="B431" s="2">
        <v>430</v>
      </c>
      <c r="C431" s="38">
        <v>95211105</v>
      </c>
      <c r="D431" s="4"/>
      <c r="E431" s="43" t="s">
        <v>698</v>
      </c>
      <c r="F431" s="2">
        <v>20250731</v>
      </c>
      <c r="G431" s="2">
        <v>20250731</v>
      </c>
      <c r="H431" s="2">
        <v>20250731</v>
      </c>
      <c r="I431" s="40" t="s">
        <v>885</v>
      </c>
      <c r="M431" s="40" t="s">
        <v>154</v>
      </c>
      <c r="N431" s="42"/>
      <c r="P431" s="47">
        <v>307030</v>
      </c>
      <c r="R431" s="47" t="s">
        <v>699</v>
      </c>
    </row>
    <row r="432" spans="1:18">
      <c r="A432" s="2">
        <v>1</v>
      </c>
      <c r="B432" s="2">
        <v>431</v>
      </c>
      <c r="C432" s="38">
        <v>95211105</v>
      </c>
      <c r="D432" s="4"/>
      <c r="E432" s="43" t="s">
        <v>698</v>
      </c>
      <c r="F432" s="2">
        <v>20250731</v>
      </c>
      <c r="G432" s="2">
        <v>20250731</v>
      </c>
      <c r="H432" s="2">
        <v>20250731</v>
      </c>
      <c r="I432" s="40" t="s">
        <v>882</v>
      </c>
      <c r="M432" s="40" t="s">
        <v>125</v>
      </c>
      <c r="N432" s="42"/>
      <c r="P432" s="47">
        <v>307030</v>
      </c>
      <c r="R432" s="47" t="s">
        <v>699</v>
      </c>
    </row>
    <row r="433" spans="1:18">
      <c r="A433" s="2">
        <v>1</v>
      </c>
      <c r="B433" s="2">
        <v>432</v>
      </c>
      <c r="C433" s="38">
        <v>95211105</v>
      </c>
      <c r="D433" s="4"/>
      <c r="E433" s="43" t="s">
        <v>698</v>
      </c>
      <c r="F433" s="2">
        <v>20250731</v>
      </c>
      <c r="G433" s="2">
        <v>20250731</v>
      </c>
      <c r="H433" s="2">
        <v>20250731</v>
      </c>
      <c r="I433" s="40" t="s">
        <v>877</v>
      </c>
      <c r="M433" s="40" t="s">
        <v>154</v>
      </c>
      <c r="N433" s="42"/>
      <c r="P433" s="47">
        <v>307030</v>
      </c>
      <c r="R433" s="47" t="s">
        <v>699</v>
      </c>
    </row>
    <row r="434" spans="1:18">
      <c r="A434" s="2">
        <v>1</v>
      </c>
      <c r="B434" s="2">
        <v>433</v>
      </c>
      <c r="C434" s="38">
        <v>95211105</v>
      </c>
      <c r="D434" s="4"/>
      <c r="E434" s="43" t="s">
        <v>698</v>
      </c>
      <c r="F434" s="2">
        <v>20250731</v>
      </c>
      <c r="G434" s="2">
        <v>20250731</v>
      </c>
      <c r="H434" s="2">
        <v>20250731</v>
      </c>
      <c r="I434" s="40" t="s">
        <v>921</v>
      </c>
      <c r="M434" s="40" t="s">
        <v>391</v>
      </c>
      <c r="N434" s="42"/>
      <c r="P434" s="47">
        <v>307030</v>
      </c>
      <c r="R434" s="47" t="s">
        <v>699</v>
      </c>
    </row>
    <row r="435" spans="1:18">
      <c r="A435" s="2">
        <v>1</v>
      </c>
      <c r="B435" s="2">
        <v>434</v>
      </c>
      <c r="C435" s="38">
        <v>95211106</v>
      </c>
      <c r="D435" s="4"/>
      <c r="E435" s="43" t="s">
        <v>698</v>
      </c>
      <c r="F435" s="2">
        <v>20250731</v>
      </c>
      <c r="G435" s="2">
        <v>20250731</v>
      </c>
      <c r="H435" s="2">
        <v>20250731</v>
      </c>
      <c r="I435" s="44"/>
      <c r="M435" s="40" t="s">
        <v>147</v>
      </c>
      <c r="N435" s="42"/>
      <c r="P435" s="47">
        <v>307030</v>
      </c>
      <c r="R435" s="47" t="s">
        <v>699</v>
      </c>
    </row>
    <row r="436" spans="1:18">
      <c r="A436" s="2">
        <v>1</v>
      </c>
      <c r="B436" s="2">
        <v>435</v>
      </c>
      <c r="C436" s="38">
        <v>95221101</v>
      </c>
      <c r="D436" s="4"/>
      <c r="E436" s="43" t="s">
        <v>698</v>
      </c>
      <c r="F436" s="2">
        <v>20250731</v>
      </c>
      <c r="G436" s="2">
        <v>20250731</v>
      </c>
      <c r="H436" s="2">
        <v>20250731</v>
      </c>
      <c r="I436" s="44"/>
      <c r="M436" s="40" t="s">
        <v>392</v>
      </c>
      <c r="N436" s="42"/>
      <c r="P436" s="47">
        <v>307030</v>
      </c>
      <c r="R436" s="47" t="s">
        <v>699</v>
      </c>
    </row>
    <row r="437" spans="1:18">
      <c r="A437" s="2">
        <v>1</v>
      </c>
      <c r="B437" s="2">
        <v>436</v>
      </c>
      <c r="C437" s="38">
        <v>95221101</v>
      </c>
      <c r="D437" s="4"/>
      <c r="E437" s="43" t="s">
        <v>698</v>
      </c>
      <c r="F437" s="2">
        <v>20250731</v>
      </c>
      <c r="G437" s="2">
        <v>20250731</v>
      </c>
      <c r="H437" s="2">
        <v>20250731</v>
      </c>
      <c r="I437" s="44"/>
      <c r="M437" s="40" t="s">
        <v>393</v>
      </c>
      <c r="N437" s="42"/>
      <c r="P437" s="47">
        <v>307030</v>
      </c>
      <c r="R437" s="47" t="s">
        <v>699</v>
      </c>
    </row>
    <row r="438" spans="1:18">
      <c r="A438" s="2">
        <v>1</v>
      </c>
      <c r="B438" s="2">
        <v>437</v>
      </c>
      <c r="C438" s="38">
        <v>95221101</v>
      </c>
      <c r="D438" s="4"/>
      <c r="E438" s="43" t="s">
        <v>698</v>
      </c>
      <c r="F438" s="2">
        <v>20250731</v>
      </c>
      <c r="G438" s="2">
        <v>20250731</v>
      </c>
      <c r="H438" s="2">
        <v>20250731</v>
      </c>
      <c r="I438" s="44"/>
      <c r="M438" s="40" t="s">
        <v>394</v>
      </c>
      <c r="N438" s="42"/>
      <c r="P438" s="47">
        <v>307030</v>
      </c>
      <c r="R438" s="47" t="s">
        <v>699</v>
      </c>
    </row>
    <row r="439" spans="1:18">
      <c r="A439" s="2">
        <v>1</v>
      </c>
      <c r="B439" s="2">
        <v>438</v>
      </c>
      <c r="C439" s="38">
        <v>95221101</v>
      </c>
      <c r="D439" s="4"/>
      <c r="E439" s="43" t="s">
        <v>698</v>
      </c>
      <c r="F439" s="2">
        <v>20250731</v>
      </c>
      <c r="G439" s="2">
        <v>20250731</v>
      </c>
      <c r="H439" s="2">
        <v>20250731</v>
      </c>
      <c r="I439" s="44"/>
      <c r="M439" s="40" t="s">
        <v>395</v>
      </c>
      <c r="N439" s="42"/>
      <c r="P439" s="47">
        <v>307030</v>
      </c>
      <c r="R439" s="47" t="s">
        <v>699</v>
      </c>
    </row>
    <row r="440" spans="1:18">
      <c r="A440" s="2">
        <v>1</v>
      </c>
      <c r="B440" s="2">
        <v>439</v>
      </c>
      <c r="C440" s="38">
        <v>95221101</v>
      </c>
      <c r="D440" s="4"/>
      <c r="E440" s="43" t="s">
        <v>698</v>
      </c>
      <c r="F440" s="2">
        <v>20250731</v>
      </c>
      <c r="G440" s="2">
        <v>20250731</v>
      </c>
      <c r="H440" s="2">
        <v>20250731</v>
      </c>
      <c r="I440" s="44"/>
      <c r="M440" s="40" t="s">
        <v>396</v>
      </c>
      <c r="N440" s="42"/>
      <c r="P440" s="47">
        <v>307030</v>
      </c>
      <c r="R440" s="47" t="s">
        <v>699</v>
      </c>
    </row>
    <row r="441" spans="1:18">
      <c r="A441" s="2">
        <v>1</v>
      </c>
      <c r="B441" s="2">
        <v>440</v>
      </c>
      <c r="C441" s="38">
        <v>95221101</v>
      </c>
      <c r="D441" s="4"/>
      <c r="E441" s="43" t="s">
        <v>698</v>
      </c>
      <c r="F441" s="2">
        <v>20250731</v>
      </c>
      <c r="G441" s="2">
        <v>20250731</v>
      </c>
      <c r="H441" s="2">
        <v>20250731</v>
      </c>
      <c r="I441" s="44"/>
      <c r="M441" s="40" t="s">
        <v>397</v>
      </c>
      <c r="N441" s="42"/>
      <c r="P441" s="47">
        <v>307030</v>
      </c>
      <c r="R441" s="47" t="s">
        <v>699</v>
      </c>
    </row>
    <row r="442" spans="1:18">
      <c r="A442" s="2">
        <v>1</v>
      </c>
      <c r="B442" s="2">
        <v>441</v>
      </c>
      <c r="C442" s="38">
        <v>95221101</v>
      </c>
      <c r="D442" s="4"/>
      <c r="E442" s="43" t="s">
        <v>698</v>
      </c>
      <c r="F442" s="2">
        <v>20250731</v>
      </c>
      <c r="G442" s="2">
        <v>20250731</v>
      </c>
      <c r="H442" s="2">
        <v>20250731</v>
      </c>
      <c r="I442" s="44"/>
      <c r="M442" s="40" t="s">
        <v>398</v>
      </c>
      <c r="N442" s="42"/>
      <c r="P442" s="47">
        <v>307030</v>
      </c>
      <c r="R442" s="47" t="s">
        <v>699</v>
      </c>
    </row>
    <row r="443" spans="1:18">
      <c r="A443" s="2">
        <v>1</v>
      </c>
      <c r="B443" s="2">
        <v>442</v>
      </c>
      <c r="C443" s="38">
        <v>95221101</v>
      </c>
      <c r="D443" s="4"/>
      <c r="E443" s="43" t="s">
        <v>698</v>
      </c>
      <c r="F443" s="2">
        <v>20250731</v>
      </c>
      <c r="G443" s="2">
        <v>20250731</v>
      </c>
      <c r="H443" s="2">
        <v>20250731</v>
      </c>
      <c r="I443" s="44"/>
      <c r="M443" s="40" t="s">
        <v>399</v>
      </c>
      <c r="N443" s="42"/>
      <c r="P443" s="47">
        <v>307030</v>
      </c>
      <c r="R443" s="47" t="s">
        <v>699</v>
      </c>
    </row>
    <row r="444" spans="1:18">
      <c r="A444" s="2">
        <v>1</v>
      </c>
      <c r="B444" s="2">
        <v>443</v>
      </c>
      <c r="C444" s="38">
        <v>95221101</v>
      </c>
      <c r="D444" s="4"/>
      <c r="E444" s="43" t="s">
        <v>698</v>
      </c>
      <c r="F444" s="2">
        <v>20250731</v>
      </c>
      <c r="G444" s="2">
        <v>20250731</v>
      </c>
      <c r="H444" s="2">
        <v>20250731</v>
      </c>
      <c r="I444" s="44"/>
      <c r="M444" s="40" t="s">
        <v>400</v>
      </c>
      <c r="N444" s="42"/>
      <c r="P444" s="47">
        <v>307030</v>
      </c>
      <c r="R444" s="47" t="s">
        <v>699</v>
      </c>
    </row>
    <row r="445" spans="1:18">
      <c r="A445" s="2">
        <v>1</v>
      </c>
      <c r="B445" s="2">
        <v>444</v>
      </c>
      <c r="C445" s="38">
        <v>95221101</v>
      </c>
      <c r="D445" s="4"/>
      <c r="E445" s="43" t="s">
        <v>698</v>
      </c>
      <c r="F445" s="2">
        <v>20250731</v>
      </c>
      <c r="G445" s="2">
        <v>20250731</v>
      </c>
      <c r="H445" s="2">
        <v>20250731</v>
      </c>
      <c r="I445" s="44"/>
      <c r="M445" s="40" t="s">
        <v>401</v>
      </c>
      <c r="N445" s="42"/>
      <c r="P445" s="47">
        <v>307030</v>
      </c>
      <c r="R445" s="47" t="s">
        <v>699</v>
      </c>
    </row>
    <row r="446" spans="1:18">
      <c r="A446" s="2">
        <v>1</v>
      </c>
      <c r="B446" s="2">
        <v>445</v>
      </c>
      <c r="C446" s="38">
        <v>95221101</v>
      </c>
      <c r="D446" s="4"/>
      <c r="E446" s="43" t="s">
        <v>698</v>
      </c>
      <c r="F446" s="2">
        <v>20250731</v>
      </c>
      <c r="G446" s="2">
        <v>20250731</v>
      </c>
      <c r="H446" s="2">
        <v>20250731</v>
      </c>
      <c r="I446" s="44"/>
      <c r="M446" s="40" t="s">
        <v>402</v>
      </c>
      <c r="N446" s="42"/>
      <c r="P446" s="47">
        <v>307030</v>
      </c>
      <c r="R446" s="47" t="s">
        <v>699</v>
      </c>
    </row>
    <row r="447" spans="1:18">
      <c r="A447" s="2">
        <v>1</v>
      </c>
      <c r="B447" s="2">
        <v>446</v>
      </c>
      <c r="C447" s="38">
        <v>95221101</v>
      </c>
      <c r="D447" s="4"/>
      <c r="E447" s="43" t="s">
        <v>698</v>
      </c>
      <c r="F447" s="2">
        <v>20250731</v>
      </c>
      <c r="G447" s="2">
        <v>20250731</v>
      </c>
      <c r="H447" s="2">
        <v>20250731</v>
      </c>
      <c r="I447" s="44"/>
      <c r="M447" s="40" t="s">
        <v>403</v>
      </c>
      <c r="N447" s="42"/>
      <c r="P447" s="47">
        <v>307030</v>
      </c>
      <c r="R447" s="47" t="s">
        <v>699</v>
      </c>
    </row>
    <row r="448" spans="1:18">
      <c r="A448" s="2">
        <v>1</v>
      </c>
      <c r="B448" s="2">
        <v>447</v>
      </c>
      <c r="C448" s="38">
        <v>95221101</v>
      </c>
      <c r="D448" s="4"/>
      <c r="E448" s="43" t="s">
        <v>698</v>
      </c>
      <c r="F448" s="2">
        <v>20250731</v>
      </c>
      <c r="G448" s="2">
        <v>20250731</v>
      </c>
      <c r="H448" s="2">
        <v>20250731</v>
      </c>
      <c r="I448" s="44"/>
      <c r="M448" s="40" t="s">
        <v>404</v>
      </c>
      <c r="N448" s="42"/>
      <c r="P448" s="47">
        <v>307030</v>
      </c>
      <c r="R448" s="47" t="s">
        <v>699</v>
      </c>
    </row>
    <row r="449" spans="1:18">
      <c r="A449" s="2">
        <v>1</v>
      </c>
      <c r="B449" s="2">
        <v>448</v>
      </c>
      <c r="C449" s="38">
        <v>95221101</v>
      </c>
      <c r="D449" s="4"/>
      <c r="E449" s="43" t="s">
        <v>698</v>
      </c>
      <c r="F449" s="2">
        <v>20250731</v>
      </c>
      <c r="G449" s="2">
        <v>20250731</v>
      </c>
      <c r="H449" s="2">
        <v>20250731</v>
      </c>
      <c r="I449" s="44"/>
      <c r="M449" s="40" t="s">
        <v>405</v>
      </c>
      <c r="N449" s="42"/>
      <c r="P449" s="47">
        <v>307030</v>
      </c>
      <c r="R449" s="47" t="s">
        <v>699</v>
      </c>
    </row>
    <row r="450" spans="1:18">
      <c r="A450" s="2">
        <v>1</v>
      </c>
      <c r="B450" s="2">
        <v>449</v>
      </c>
      <c r="C450" s="38">
        <v>95221101</v>
      </c>
      <c r="D450" s="4"/>
      <c r="E450" s="43" t="s">
        <v>698</v>
      </c>
      <c r="F450" s="2">
        <v>20250731</v>
      </c>
      <c r="G450" s="2">
        <v>20250731</v>
      </c>
      <c r="H450" s="2">
        <v>20250731</v>
      </c>
      <c r="I450" s="44"/>
      <c r="M450" s="40" t="s">
        <v>406</v>
      </c>
      <c r="N450" s="42"/>
      <c r="P450" s="47">
        <v>307030</v>
      </c>
      <c r="R450" s="47" t="s">
        <v>699</v>
      </c>
    </row>
    <row r="451" spans="1:18">
      <c r="A451" s="2">
        <v>1</v>
      </c>
      <c r="B451" s="2">
        <v>450</v>
      </c>
      <c r="C451" s="38">
        <v>95221101</v>
      </c>
      <c r="D451" s="4"/>
      <c r="E451" s="43" t="s">
        <v>698</v>
      </c>
      <c r="F451" s="2">
        <v>20250731</v>
      </c>
      <c r="G451" s="2">
        <v>20250731</v>
      </c>
      <c r="H451" s="2">
        <v>20250731</v>
      </c>
      <c r="I451" s="44"/>
      <c r="M451" s="40" t="s">
        <v>407</v>
      </c>
      <c r="N451" s="42"/>
      <c r="P451" s="47">
        <v>307030</v>
      </c>
      <c r="R451" s="47" t="s">
        <v>699</v>
      </c>
    </row>
    <row r="452" spans="1:18">
      <c r="A452" s="2">
        <v>1</v>
      </c>
      <c r="B452" s="2">
        <v>451</v>
      </c>
      <c r="C452" s="38">
        <v>95221101</v>
      </c>
      <c r="D452" s="4"/>
      <c r="E452" s="43" t="s">
        <v>698</v>
      </c>
      <c r="F452" s="2">
        <v>20250731</v>
      </c>
      <c r="G452" s="2">
        <v>20250731</v>
      </c>
      <c r="H452" s="2">
        <v>20250731</v>
      </c>
      <c r="I452" s="44"/>
      <c r="M452" s="40" t="s">
        <v>408</v>
      </c>
      <c r="N452" s="42"/>
      <c r="P452" s="47">
        <v>307030</v>
      </c>
      <c r="R452" s="47" t="s">
        <v>699</v>
      </c>
    </row>
    <row r="453" spans="1:18">
      <c r="A453" s="2">
        <v>1</v>
      </c>
      <c r="B453" s="2">
        <v>452</v>
      </c>
      <c r="C453" s="38">
        <v>95221101</v>
      </c>
      <c r="D453" s="4"/>
      <c r="E453" s="43" t="s">
        <v>698</v>
      </c>
      <c r="F453" s="2">
        <v>20250731</v>
      </c>
      <c r="G453" s="2">
        <v>20250731</v>
      </c>
      <c r="H453" s="2">
        <v>20250731</v>
      </c>
      <c r="I453" s="44"/>
      <c r="M453" s="40" t="s">
        <v>409</v>
      </c>
      <c r="N453" s="42"/>
      <c r="P453" s="47">
        <v>307030</v>
      </c>
      <c r="R453" s="47" t="s">
        <v>699</v>
      </c>
    </row>
    <row r="454" spans="1:18">
      <c r="A454" s="2">
        <v>1</v>
      </c>
      <c r="B454" s="2">
        <v>453</v>
      </c>
      <c r="C454" s="38">
        <v>95221101</v>
      </c>
      <c r="D454" s="4"/>
      <c r="E454" s="43" t="s">
        <v>698</v>
      </c>
      <c r="F454" s="2">
        <v>20250731</v>
      </c>
      <c r="G454" s="2">
        <v>20250731</v>
      </c>
      <c r="H454" s="2">
        <v>20250731</v>
      </c>
      <c r="I454" s="44"/>
      <c r="M454" s="40" t="s">
        <v>410</v>
      </c>
      <c r="N454" s="42"/>
      <c r="P454" s="47">
        <v>307030</v>
      </c>
      <c r="R454" s="47" t="s">
        <v>699</v>
      </c>
    </row>
    <row r="455" spans="1:18">
      <c r="A455" s="2">
        <v>1</v>
      </c>
      <c r="B455" s="2">
        <v>454</v>
      </c>
      <c r="C455" s="38">
        <v>95221101</v>
      </c>
      <c r="D455" s="4"/>
      <c r="E455" s="43" t="s">
        <v>698</v>
      </c>
      <c r="F455" s="2">
        <v>20250731</v>
      </c>
      <c r="G455" s="2">
        <v>20250731</v>
      </c>
      <c r="H455" s="2">
        <v>20250731</v>
      </c>
      <c r="I455" s="44"/>
      <c r="M455" s="40" t="s">
        <v>411</v>
      </c>
      <c r="N455" s="42"/>
      <c r="P455" s="47">
        <v>307030</v>
      </c>
      <c r="R455" s="47" t="s">
        <v>699</v>
      </c>
    </row>
    <row r="456" spans="1:18">
      <c r="A456" s="2">
        <v>1</v>
      </c>
      <c r="B456" s="2">
        <v>455</v>
      </c>
      <c r="C456" s="38">
        <v>95221101</v>
      </c>
      <c r="D456" s="4"/>
      <c r="E456" s="43" t="s">
        <v>698</v>
      </c>
      <c r="F456" s="2">
        <v>20250731</v>
      </c>
      <c r="G456" s="2">
        <v>20250731</v>
      </c>
      <c r="H456" s="2">
        <v>20250731</v>
      </c>
      <c r="I456" s="44"/>
      <c r="M456" s="40" t="s">
        <v>141</v>
      </c>
      <c r="N456" s="42"/>
      <c r="P456" s="47">
        <v>307030</v>
      </c>
      <c r="R456" s="47" t="s">
        <v>699</v>
      </c>
    </row>
    <row r="457" spans="1:18">
      <c r="A457" s="2">
        <v>1</v>
      </c>
      <c r="B457" s="2">
        <v>456</v>
      </c>
      <c r="C457" s="38">
        <v>95221101</v>
      </c>
      <c r="D457" s="4"/>
      <c r="E457" s="43" t="s">
        <v>698</v>
      </c>
      <c r="F457" s="2">
        <v>20250731</v>
      </c>
      <c r="G457" s="2">
        <v>20250731</v>
      </c>
      <c r="H457" s="2">
        <v>20250731</v>
      </c>
      <c r="I457" s="44"/>
      <c r="M457" s="40" t="s">
        <v>412</v>
      </c>
      <c r="N457" s="42"/>
      <c r="P457" s="47">
        <v>307030</v>
      </c>
      <c r="R457" s="47" t="s">
        <v>699</v>
      </c>
    </row>
    <row r="458" spans="1:18">
      <c r="A458" s="2">
        <v>1</v>
      </c>
      <c r="B458" s="2">
        <v>457</v>
      </c>
      <c r="C458" s="38">
        <v>95221101</v>
      </c>
      <c r="D458" s="4"/>
      <c r="E458" s="43" t="s">
        <v>698</v>
      </c>
      <c r="F458" s="2">
        <v>20250731</v>
      </c>
      <c r="G458" s="2">
        <v>20250731</v>
      </c>
      <c r="H458" s="2">
        <v>20250731</v>
      </c>
      <c r="I458" s="44"/>
      <c r="M458" s="40" t="s">
        <v>413</v>
      </c>
      <c r="N458" s="42"/>
      <c r="P458" s="47">
        <v>307030</v>
      </c>
      <c r="R458" s="47" t="s">
        <v>699</v>
      </c>
    </row>
    <row r="459" spans="1:18">
      <c r="A459" s="2">
        <v>1</v>
      </c>
      <c r="B459" s="2">
        <v>458</v>
      </c>
      <c r="C459" s="38">
        <v>95221101</v>
      </c>
      <c r="D459" s="4"/>
      <c r="E459" s="43" t="s">
        <v>698</v>
      </c>
      <c r="F459" s="2">
        <v>20250731</v>
      </c>
      <c r="G459" s="2">
        <v>20250731</v>
      </c>
      <c r="H459" s="2">
        <v>20250731</v>
      </c>
      <c r="I459" s="44"/>
      <c r="M459" s="40" t="s">
        <v>414</v>
      </c>
      <c r="N459" s="42"/>
      <c r="P459" s="47">
        <v>307030</v>
      </c>
      <c r="R459" s="47" t="s">
        <v>699</v>
      </c>
    </row>
    <row r="460" spans="1:18">
      <c r="A460" s="2">
        <v>1</v>
      </c>
      <c r="B460" s="2">
        <v>459</v>
      </c>
      <c r="C460" s="38">
        <v>95221101</v>
      </c>
      <c r="D460" s="4"/>
      <c r="E460" s="43" t="s">
        <v>698</v>
      </c>
      <c r="F460" s="2">
        <v>20250731</v>
      </c>
      <c r="G460" s="2">
        <v>20250731</v>
      </c>
      <c r="H460" s="2">
        <v>20250731</v>
      </c>
      <c r="I460" s="44"/>
      <c r="M460" s="40" t="s">
        <v>415</v>
      </c>
      <c r="N460" s="42"/>
      <c r="P460" s="47">
        <v>307030</v>
      </c>
      <c r="R460" s="47" t="s">
        <v>699</v>
      </c>
    </row>
    <row r="461" spans="1:18">
      <c r="A461" s="2">
        <v>1</v>
      </c>
      <c r="B461" s="2">
        <v>460</v>
      </c>
      <c r="C461" s="38">
        <v>95221101</v>
      </c>
      <c r="D461" s="4"/>
      <c r="E461" s="43" t="s">
        <v>698</v>
      </c>
      <c r="F461" s="2">
        <v>20250731</v>
      </c>
      <c r="G461" s="2">
        <v>20250731</v>
      </c>
      <c r="H461" s="2">
        <v>20250731</v>
      </c>
      <c r="I461" s="44"/>
      <c r="M461" s="40" t="s">
        <v>416</v>
      </c>
      <c r="N461" s="42"/>
      <c r="P461" s="47">
        <v>307030</v>
      </c>
      <c r="R461" s="47" t="s">
        <v>699</v>
      </c>
    </row>
    <row r="462" spans="1:18">
      <c r="A462" s="2">
        <v>1</v>
      </c>
      <c r="B462" s="2">
        <v>461</v>
      </c>
      <c r="C462" s="38">
        <v>95221101</v>
      </c>
      <c r="D462" s="4"/>
      <c r="E462" s="43" t="s">
        <v>698</v>
      </c>
      <c r="F462" s="2">
        <v>20250731</v>
      </c>
      <c r="G462" s="2">
        <v>20250731</v>
      </c>
      <c r="H462" s="2">
        <v>20250731</v>
      </c>
      <c r="I462" s="44"/>
      <c r="M462" s="40" t="s">
        <v>417</v>
      </c>
      <c r="N462" s="42"/>
      <c r="P462" s="47">
        <v>307030</v>
      </c>
      <c r="R462" s="47" t="s">
        <v>699</v>
      </c>
    </row>
    <row r="463" spans="1:18">
      <c r="A463" s="2">
        <v>1</v>
      </c>
      <c r="B463" s="2">
        <v>462</v>
      </c>
      <c r="C463" s="38">
        <v>95221101</v>
      </c>
      <c r="D463" s="4"/>
      <c r="E463" s="43" t="s">
        <v>698</v>
      </c>
      <c r="F463" s="2">
        <v>20250731</v>
      </c>
      <c r="G463" s="2">
        <v>20250731</v>
      </c>
      <c r="H463" s="2">
        <v>20250731</v>
      </c>
      <c r="I463" s="44"/>
      <c r="M463" s="40" t="s">
        <v>418</v>
      </c>
      <c r="N463" s="42"/>
      <c r="P463" s="47">
        <v>307030</v>
      </c>
      <c r="R463" s="47" t="s">
        <v>699</v>
      </c>
    </row>
    <row r="464" spans="1:18">
      <c r="A464" s="2">
        <v>1</v>
      </c>
      <c r="B464" s="2">
        <v>463</v>
      </c>
      <c r="C464" s="38">
        <v>95221101</v>
      </c>
      <c r="D464" s="4"/>
      <c r="E464" s="43" t="s">
        <v>698</v>
      </c>
      <c r="F464" s="2">
        <v>20250731</v>
      </c>
      <c r="G464" s="2">
        <v>20250731</v>
      </c>
      <c r="H464" s="2">
        <v>20250731</v>
      </c>
      <c r="I464" s="44"/>
      <c r="M464" s="40" t="s">
        <v>419</v>
      </c>
      <c r="N464" s="42"/>
      <c r="P464" s="47">
        <v>307030</v>
      </c>
      <c r="R464" s="47" t="s">
        <v>699</v>
      </c>
    </row>
    <row r="465" spans="1:18">
      <c r="A465" s="2">
        <v>1</v>
      </c>
      <c r="B465" s="2">
        <v>464</v>
      </c>
      <c r="C465" s="38">
        <v>95221101</v>
      </c>
      <c r="D465" s="4"/>
      <c r="E465" s="43" t="s">
        <v>698</v>
      </c>
      <c r="F465" s="2">
        <v>20250731</v>
      </c>
      <c r="G465" s="2">
        <v>20250731</v>
      </c>
      <c r="H465" s="2">
        <v>20250731</v>
      </c>
      <c r="I465" s="44"/>
      <c r="M465" s="40" t="s">
        <v>420</v>
      </c>
      <c r="N465" s="42"/>
      <c r="P465" s="47">
        <v>307030</v>
      </c>
      <c r="R465" s="47" t="s">
        <v>699</v>
      </c>
    </row>
    <row r="466" spans="1:18">
      <c r="A466" s="2">
        <v>1</v>
      </c>
      <c r="B466" s="2">
        <v>465</v>
      </c>
      <c r="C466" s="38">
        <v>95221101</v>
      </c>
      <c r="D466" s="4"/>
      <c r="E466" s="43" t="s">
        <v>698</v>
      </c>
      <c r="F466" s="2">
        <v>20250731</v>
      </c>
      <c r="G466" s="2">
        <v>20250731</v>
      </c>
      <c r="H466" s="2">
        <v>20250731</v>
      </c>
      <c r="I466" s="44"/>
      <c r="M466" s="40" t="s">
        <v>421</v>
      </c>
      <c r="N466" s="42"/>
      <c r="P466" s="47">
        <v>307030</v>
      </c>
      <c r="R466" s="47" t="s">
        <v>699</v>
      </c>
    </row>
    <row r="467" spans="1:18">
      <c r="A467" s="2">
        <v>1</v>
      </c>
      <c r="B467" s="2">
        <v>466</v>
      </c>
      <c r="C467" s="38">
        <v>95221101</v>
      </c>
      <c r="D467" s="4"/>
      <c r="E467" s="43" t="s">
        <v>698</v>
      </c>
      <c r="F467" s="2">
        <v>20250731</v>
      </c>
      <c r="G467" s="2">
        <v>20250731</v>
      </c>
      <c r="H467" s="2">
        <v>20250731</v>
      </c>
      <c r="I467" s="44"/>
      <c r="M467" s="40" t="s">
        <v>151</v>
      </c>
      <c r="N467" s="42"/>
      <c r="P467" s="47">
        <v>307030</v>
      </c>
      <c r="R467" s="47" t="s">
        <v>699</v>
      </c>
    </row>
    <row r="468" spans="1:18">
      <c r="A468" s="2">
        <v>1</v>
      </c>
      <c r="B468" s="2">
        <v>467</v>
      </c>
      <c r="C468" s="38">
        <v>95221101</v>
      </c>
      <c r="D468" s="4"/>
      <c r="E468" s="43" t="s">
        <v>698</v>
      </c>
      <c r="F468" s="2">
        <v>20250731</v>
      </c>
      <c r="G468" s="2">
        <v>20250731</v>
      </c>
      <c r="H468" s="2">
        <v>20250731</v>
      </c>
      <c r="I468" s="44"/>
      <c r="M468" s="40" t="s">
        <v>140</v>
      </c>
      <c r="N468" s="42"/>
      <c r="P468" s="47">
        <v>307030</v>
      </c>
      <c r="R468" s="47" t="s">
        <v>699</v>
      </c>
    </row>
    <row r="469" spans="1:18">
      <c r="A469" s="2">
        <v>1</v>
      </c>
      <c r="B469" s="2">
        <v>468</v>
      </c>
      <c r="C469" s="38">
        <v>95221101</v>
      </c>
      <c r="D469" s="4"/>
      <c r="E469" s="43" t="s">
        <v>698</v>
      </c>
      <c r="F469" s="2">
        <v>20250731</v>
      </c>
      <c r="G469" s="2">
        <v>20250731</v>
      </c>
      <c r="H469" s="2">
        <v>20250731</v>
      </c>
      <c r="I469" s="44"/>
      <c r="M469" s="40" t="s">
        <v>180</v>
      </c>
      <c r="N469" s="42"/>
      <c r="P469" s="47">
        <v>307030</v>
      </c>
      <c r="R469" s="47" t="s">
        <v>699</v>
      </c>
    </row>
    <row r="470" spans="1:18">
      <c r="A470" s="2">
        <v>1</v>
      </c>
      <c r="B470" s="2">
        <v>469</v>
      </c>
      <c r="C470" s="38">
        <v>95221101</v>
      </c>
      <c r="D470" s="4"/>
      <c r="E470" s="43" t="s">
        <v>698</v>
      </c>
      <c r="F470" s="2">
        <v>20250731</v>
      </c>
      <c r="G470" s="2">
        <v>20250731</v>
      </c>
      <c r="H470" s="2">
        <v>20250731</v>
      </c>
      <c r="I470" s="44"/>
      <c r="M470" s="40" t="s">
        <v>422</v>
      </c>
      <c r="N470" s="42"/>
      <c r="P470" s="47">
        <v>307030</v>
      </c>
      <c r="R470" s="47" t="s">
        <v>699</v>
      </c>
    </row>
    <row r="471" spans="1:18">
      <c r="A471" s="2">
        <v>1</v>
      </c>
      <c r="B471" s="2">
        <v>470</v>
      </c>
      <c r="C471" s="38">
        <v>95221101</v>
      </c>
      <c r="D471" s="4"/>
      <c r="E471" s="43" t="s">
        <v>698</v>
      </c>
      <c r="F471" s="2">
        <v>20250731</v>
      </c>
      <c r="G471" s="2">
        <v>20250731</v>
      </c>
      <c r="H471" s="2">
        <v>20250731</v>
      </c>
      <c r="I471" s="44"/>
      <c r="M471" s="40" t="s">
        <v>423</v>
      </c>
      <c r="N471" s="42"/>
      <c r="P471" s="47">
        <v>307030</v>
      </c>
      <c r="R471" s="47" t="s">
        <v>699</v>
      </c>
    </row>
    <row r="472" spans="1:18">
      <c r="A472" s="2">
        <v>1</v>
      </c>
      <c r="B472" s="2">
        <v>471</v>
      </c>
      <c r="C472" s="38">
        <v>95221101</v>
      </c>
      <c r="D472" s="4"/>
      <c r="E472" s="43" t="s">
        <v>698</v>
      </c>
      <c r="F472" s="2">
        <v>20250731</v>
      </c>
      <c r="G472" s="2">
        <v>20250731</v>
      </c>
      <c r="H472" s="2">
        <v>20250731</v>
      </c>
      <c r="I472" s="44"/>
      <c r="M472" s="40" t="s">
        <v>424</v>
      </c>
      <c r="N472" s="42"/>
      <c r="P472" s="47">
        <v>307030</v>
      </c>
      <c r="R472" s="47" t="s">
        <v>699</v>
      </c>
    </row>
    <row r="473" spans="1:18">
      <c r="A473" s="2">
        <v>1</v>
      </c>
      <c r="B473" s="2">
        <v>472</v>
      </c>
      <c r="C473" s="38">
        <v>95221101</v>
      </c>
      <c r="D473" s="4"/>
      <c r="E473" s="43" t="s">
        <v>698</v>
      </c>
      <c r="F473" s="2">
        <v>20250731</v>
      </c>
      <c r="G473" s="2">
        <v>20250731</v>
      </c>
      <c r="H473" s="2">
        <v>20250731</v>
      </c>
      <c r="I473" s="44"/>
      <c r="M473" s="40" t="s">
        <v>425</v>
      </c>
      <c r="N473" s="42"/>
      <c r="P473" s="47">
        <v>307030</v>
      </c>
      <c r="R473" s="47" t="s">
        <v>699</v>
      </c>
    </row>
    <row r="474" spans="1:18">
      <c r="A474" s="2">
        <v>1</v>
      </c>
      <c r="B474" s="2">
        <v>473</v>
      </c>
      <c r="C474" s="38">
        <v>95221101</v>
      </c>
      <c r="D474" s="4"/>
      <c r="E474" s="43" t="s">
        <v>698</v>
      </c>
      <c r="F474" s="2">
        <v>20250731</v>
      </c>
      <c r="G474" s="2">
        <v>20250731</v>
      </c>
      <c r="H474" s="2">
        <v>20250731</v>
      </c>
      <c r="I474" s="44"/>
      <c r="M474" s="40" t="s">
        <v>426</v>
      </c>
      <c r="N474" s="42"/>
      <c r="P474" s="47">
        <v>307030</v>
      </c>
      <c r="R474" s="47" t="s">
        <v>699</v>
      </c>
    </row>
    <row r="475" spans="1:18">
      <c r="A475" s="2">
        <v>1</v>
      </c>
      <c r="B475" s="2">
        <v>474</v>
      </c>
      <c r="C475" s="38">
        <v>95221101</v>
      </c>
      <c r="D475" s="4"/>
      <c r="E475" s="43" t="s">
        <v>698</v>
      </c>
      <c r="F475" s="2">
        <v>20250731</v>
      </c>
      <c r="G475" s="2">
        <v>20250731</v>
      </c>
      <c r="H475" s="2">
        <v>20250731</v>
      </c>
      <c r="I475" s="44"/>
      <c r="M475" s="40" t="s">
        <v>178</v>
      </c>
      <c r="N475" s="42"/>
      <c r="P475" s="47">
        <v>307030</v>
      </c>
      <c r="R475" s="47" t="s">
        <v>699</v>
      </c>
    </row>
    <row r="476" spans="1:18">
      <c r="A476" s="2">
        <v>1</v>
      </c>
      <c r="B476" s="2">
        <v>475</v>
      </c>
      <c r="C476" s="38">
        <v>95221101</v>
      </c>
      <c r="D476" s="4"/>
      <c r="E476" s="43" t="s">
        <v>698</v>
      </c>
      <c r="F476" s="2">
        <v>20250731</v>
      </c>
      <c r="G476" s="2">
        <v>20250731</v>
      </c>
      <c r="H476" s="2">
        <v>20250731</v>
      </c>
      <c r="I476" s="44"/>
      <c r="M476" s="40" t="s">
        <v>427</v>
      </c>
      <c r="N476" s="42"/>
      <c r="P476" s="47">
        <v>307030</v>
      </c>
      <c r="R476" s="47" t="s">
        <v>699</v>
      </c>
    </row>
    <row r="477" spans="1:18">
      <c r="A477" s="2">
        <v>1</v>
      </c>
      <c r="B477" s="2">
        <v>476</v>
      </c>
      <c r="C477" s="38">
        <v>95221101</v>
      </c>
      <c r="D477" s="4"/>
      <c r="E477" s="43" t="s">
        <v>698</v>
      </c>
      <c r="F477" s="2">
        <v>20250731</v>
      </c>
      <c r="G477" s="2">
        <v>20250731</v>
      </c>
      <c r="H477" s="2">
        <v>20250731</v>
      </c>
      <c r="I477" s="44"/>
      <c r="M477" s="40" t="s">
        <v>428</v>
      </c>
      <c r="N477" s="42"/>
      <c r="P477" s="47">
        <v>307030</v>
      </c>
      <c r="R477" s="47" t="s">
        <v>699</v>
      </c>
    </row>
    <row r="478" spans="1:18">
      <c r="A478" s="2">
        <v>1</v>
      </c>
      <c r="B478" s="2">
        <v>477</v>
      </c>
      <c r="C478" s="38">
        <v>95221101</v>
      </c>
      <c r="D478" s="4"/>
      <c r="E478" s="43" t="s">
        <v>698</v>
      </c>
      <c r="F478" s="2">
        <v>20250731</v>
      </c>
      <c r="G478" s="2">
        <v>20250731</v>
      </c>
      <c r="H478" s="2">
        <v>20250731</v>
      </c>
      <c r="I478" s="44"/>
      <c r="M478" s="40" t="s">
        <v>429</v>
      </c>
      <c r="N478" s="42"/>
      <c r="P478" s="47">
        <v>307030</v>
      </c>
      <c r="R478" s="47" t="s">
        <v>699</v>
      </c>
    </row>
    <row r="479" spans="1:18">
      <c r="A479" s="2">
        <v>1</v>
      </c>
      <c r="B479" s="2">
        <v>478</v>
      </c>
      <c r="C479" s="38">
        <v>95221101</v>
      </c>
      <c r="D479" s="4"/>
      <c r="E479" s="43" t="s">
        <v>698</v>
      </c>
      <c r="F479" s="2">
        <v>20250731</v>
      </c>
      <c r="G479" s="2">
        <v>20250731</v>
      </c>
      <c r="H479" s="2">
        <v>20250731</v>
      </c>
      <c r="I479" s="44"/>
      <c r="M479" s="40" t="s">
        <v>430</v>
      </c>
      <c r="N479" s="42"/>
      <c r="P479" s="47">
        <v>307030</v>
      </c>
      <c r="R479" s="47" t="s">
        <v>699</v>
      </c>
    </row>
    <row r="480" spans="1:18">
      <c r="A480" s="2">
        <v>1</v>
      </c>
      <c r="B480" s="2">
        <v>479</v>
      </c>
      <c r="C480" s="38">
        <v>95221101</v>
      </c>
      <c r="D480" s="4"/>
      <c r="E480" s="43" t="s">
        <v>698</v>
      </c>
      <c r="F480" s="2">
        <v>20250731</v>
      </c>
      <c r="G480" s="2">
        <v>20250731</v>
      </c>
      <c r="H480" s="2">
        <v>20250731</v>
      </c>
      <c r="I480" s="44"/>
      <c r="M480" s="40" t="s">
        <v>431</v>
      </c>
      <c r="N480" s="42"/>
      <c r="P480" s="47">
        <v>307030</v>
      </c>
      <c r="R480" s="47" t="s">
        <v>699</v>
      </c>
    </row>
    <row r="481" spans="1:18">
      <c r="A481" s="2">
        <v>1</v>
      </c>
      <c r="B481" s="2">
        <v>480</v>
      </c>
      <c r="C481" s="38">
        <v>95221101</v>
      </c>
      <c r="D481" s="4"/>
      <c r="E481" s="43" t="s">
        <v>698</v>
      </c>
      <c r="F481" s="2">
        <v>20250731</v>
      </c>
      <c r="G481" s="2">
        <v>20250731</v>
      </c>
      <c r="H481" s="2">
        <v>20250731</v>
      </c>
      <c r="I481" s="44"/>
      <c r="M481" s="40" t="s">
        <v>432</v>
      </c>
      <c r="N481" s="42"/>
      <c r="P481" s="47">
        <v>307030</v>
      </c>
      <c r="R481" s="47" t="s">
        <v>699</v>
      </c>
    </row>
    <row r="482" spans="1:18">
      <c r="A482" s="2">
        <v>1</v>
      </c>
      <c r="B482" s="2">
        <v>481</v>
      </c>
      <c r="C482" s="38">
        <v>95221101</v>
      </c>
      <c r="D482" s="4"/>
      <c r="E482" s="43" t="s">
        <v>698</v>
      </c>
      <c r="F482" s="2">
        <v>20250731</v>
      </c>
      <c r="G482" s="2">
        <v>20250731</v>
      </c>
      <c r="H482" s="2">
        <v>20250731</v>
      </c>
      <c r="I482" s="44"/>
      <c r="M482" s="40" t="s">
        <v>433</v>
      </c>
      <c r="N482" s="42"/>
      <c r="P482" s="47">
        <v>307030</v>
      </c>
      <c r="R482" s="47" t="s">
        <v>699</v>
      </c>
    </row>
    <row r="483" spans="1:18">
      <c r="A483" s="2">
        <v>1</v>
      </c>
      <c r="B483" s="2">
        <v>482</v>
      </c>
      <c r="C483" s="38">
        <v>95221101</v>
      </c>
      <c r="D483" s="4"/>
      <c r="E483" s="43" t="s">
        <v>698</v>
      </c>
      <c r="F483" s="2">
        <v>20250731</v>
      </c>
      <c r="G483" s="2">
        <v>20250731</v>
      </c>
      <c r="H483" s="2">
        <v>20250731</v>
      </c>
      <c r="I483" s="44"/>
      <c r="M483" s="40" t="s">
        <v>424</v>
      </c>
      <c r="N483" s="42"/>
      <c r="P483" s="47">
        <v>307030</v>
      </c>
      <c r="R483" s="47" t="s">
        <v>699</v>
      </c>
    </row>
    <row r="484" spans="1:18">
      <c r="A484" s="2">
        <v>1</v>
      </c>
      <c r="B484" s="2">
        <v>483</v>
      </c>
      <c r="C484" s="38">
        <v>95221101</v>
      </c>
      <c r="D484" s="4"/>
      <c r="E484" s="43" t="s">
        <v>698</v>
      </c>
      <c r="F484" s="2">
        <v>20250731</v>
      </c>
      <c r="G484" s="2">
        <v>20250731</v>
      </c>
      <c r="H484" s="2">
        <v>20250731</v>
      </c>
      <c r="I484" s="44"/>
      <c r="M484" s="40" t="s">
        <v>434</v>
      </c>
      <c r="N484" s="42"/>
      <c r="P484" s="47">
        <v>307030</v>
      </c>
      <c r="R484" s="47" t="s">
        <v>699</v>
      </c>
    </row>
    <row r="485" spans="1:18">
      <c r="A485" s="2">
        <v>1</v>
      </c>
      <c r="B485" s="2">
        <v>484</v>
      </c>
      <c r="C485" s="38">
        <v>95221101</v>
      </c>
      <c r="D485" s="4"/>
      <c r="E485" s="43" t="s">
        <v>698</v>
      </c>
      <c r="F485" s="2">
        <v>20250731</v>
      </c>
      <c r="G485" s="2">
        <v>20250731</v>
      </c>
      <c r="H485" s="2">
        <v>20250731</v>
      </c>
      <c r="I485" s="44"/>
      <c r="M485" s="40" t="s">
        <v>435</v>
      </c>
      <c r="N485" s="42"/>
      <c r="P485" s="47">
        <v>307030</v>
      </c>
      <c r="R485" s="47" t="s">
        <v>699</v>
      </c>
    </row>
    <row r="486" spans="1:18">
      <c r="A486" s="2">
        <v>1</v>
      </c>
      <c r="B486" s="2">
        <v>485</v>
      </c>
      <c r="C486" s="38">
        <v>95221101</v>
      </c>
      <c r="D486" s="4"/>
      <c r="E486" s="43" t="s">
        <v>698</v>
      </c>
      <c r="F486" s="2">
        <v>20250731</v>
      </c>
      <c r="G486" s="2">
        <v>20250731</v>
      </c>
      <c r="H486" s="2">
        <v>20250731</v>
      </c>
      <c r="I486" s="44"/>
      <c r="M486" s="40" t="s">
        <v>436</v>
      </c>
      <c r="N486" s="42"/>
      <c r="P486" s="47">
        <v>307030</v>
      </c>
      <c r="R486" s="47" t="s">
        <v>699</v>
      </c>
    </row>
    <row r="487" spans="1:18">
      <c r="A487" s="2">
        <v>1</v>
      </c>
      <c r="B487" s="2">
        <v>486</v>
      </c>
      <c r="C487" s="38">
        <v>95221101</v>
      </c>
      <c r="D487" s="4"/>
      <c r="E487" s="43" t="s">
        <v>698</v>
      </c>
      <c r="F487" s="2">
        <v>20250731</v>
      </c>
      <c r="G487" s="2">
        <v>20250731</v>
      </c>
      <c r="H487" s="2">
        <v>20250731</v>
      </c>
      <c r="I487" s="44"/>
      <c r="M487" s="40" t="s">
        <v>437</v>
      </c>
      <c r="N487" s="42"/>
      <c r="P487" s="47">
        <v>307030</v>
      </c>
      <c r="R487" s="47" t="s">
        <v>699</v>
      </c>
    </row>
    <row r="488" spans="1:18">
      <c r="A488" s="2">
        <v>1</v>
      </c>
      <c r="B488" s="2">
        <v>487</v>
      </c>
      <c r="C488" s="38">
        <v>95221101</v>
      </c>
      <c r="D488" s="4"/>
      <c r="E488" s="43" t="s">
        <v>698</v>
      </c>
      <c r="F488" s="2">
        <v>20250731</v>
      </c>
      <c r="G488" s="2">
        <v>20250731</v>
      </c>
      <c r="H488" s="2">
        <v>20250731</v>
      </c>
      <c r="I488" s="44"/>
      <c r="M488" s="40" t="s">
        <v>438</v>
      </c>
      <c r="N488" s="42"/>
      <c r="P488" s="47">
        <v>307030</v>
      </c>
      <c r="R488" s="47" t="s">
        <v>699</v>
      </c>
    </row>
    <row r="489" spans="1:18">
      <c r="A489" s="2">
        <v>1</v>
      </c>
      <c r="B489" s="2">
        <v>488</v>
      </c>
      <c r="C489" s="38">
        <v>95221101</v>
      </c>
      <c r="D489" s="4"/>
      <c r="E489" s="43" t="s">
        <v>698</v>
      </c>
      <c r="F489" s="2">
        <v>20250731</v>
      </c>
      <c r="G489" s="2">
        <v>20250731</v>
      </c>
      <c r="H489" s="2">
        <v>20250731</v>
      </c>
      <c r="I489" s="44"/>
      <c r="M489" s="40" t="s">
        <v>439</v>
      </c>
      <c r="N489" s="42"/>
      <c r="P489" s="47">
        <v>307030</v>
      </c>
      <c r="R489" s="47" t="s">
        <v>699</v>
      </c>
    </row>
    <row r="490" spans="1:18">
      <c r="A490" s="2">
        <v>1</v>
      </c>
      <c r="B490" s="2">
        <v>489</v>
      </c>
      <c r="C490" s="38">
        <v>95221101</v>
      </c>
      <c r="D490" s="4"/>
      <c r="E490" s="43" t="s">
        <v>698</v>
      </c>
      <c r="F490" s="2">
        <v>20250731</v>
      </c>
      <c r="G490" s="2">
        <v>20250731</v>
      </c>
      <c r="H490" s="2">
        <v>20250731</v>
      </c>
      <c r="I490" s="44"/>
      <c r="M490" s="40" t="s">
        <v>440</v>
      </c>
      <c r="N490" s="42"/>
      <c r="P490" s="47">
        <v>307030</v>
      </c>
      <c r="R490" s="47" t="s">
        <v>699</v>
      </c>
    </row>
    <row r="491" spans="1:18">
      <c r="A491" s="2">
        <v>1</v>
      </c>
      <c r="B491" s="2">
        <v>490</v>
      </c>
      <c r="C491" s="38">
        <v>95221101</v>
      </c>
      <c r="D491" s="4"/>
      <c r="E491" s="43" t="s">
        <v>698</v>
      </c>
      <c r="F491" s="2">
        <v>20250731</v>
      </c>
      <c r="G491" s="2">
        <v>20250731</v>
      </c>
      <c r="H491" s="2">
        <v>20250731</v>
      </c>
      <c r="I491" s="44"/>
      <c r="M491" s="40" t="s">
        <v>434</v>
      </c>
      <c r="N491" s="42"/>
      <c r="P491" s="47">
        <v>307030</v>
      </c>
      <c r="R491" s="47" t="s">
        <v>699</v>
      </c>
    </row>
    <row r="492" spans="1:18">
      <c r="A492" s="2">
        <v>1</v>
      </c>
      <c r="B492" s="2">
        <v>491</v>
      </c>
      <c r="C492" s="38">
        <v>95221101</v>
      </c>
      <c r="D492" s="4"/>
      <c r="E492" s="43" t="s">
        <v>698</v>
      </c>
      <c r="F492" s="2">
        <v>20250731</v>
      </c>
      <c r="G492" s="2">
        <v>20250731</v>
      </c>
      <c r="H492" s="2">
        <v>20250731</v>
      </c>
      <c r="I492" s="44"/>
      <c r="M492" s="40" t="s">
        <v>441</v>
      </c>
      <c r="N492" s="42"/>
      <c r="P492" s="47">
        <v>307030</v>
      </c>
      <c r="R492" s="47" t="s">
        <v>699</v>
      </c>
    </row>
    <row r="493" spans="1:18">
      <c r="A493" s="2">
        <v>1</v>
      </c>
      <c r="B493" s="2">
        <v>492</v>
      </c>
      <c r="C493" s="38">
        <v>95221101</v>
      </c>
      <c r="D493" s="4"/>
      <c r="E493" s="43" t="s">
        <v>698</v>
      </c>
      <c r="F493" s="2">
        <v>20250731</v>
      </c>
      <c r="G493" s="2">
        <v>20250731</v>
      </c>
      <c r="H493" s="2">
        <v>20250731</v>
      </c>
      <c r="I493" s="44"/>
      <c r="M493" s="40" t="s">
        <v>153</v>
      </c>
      <c r="N493" s="42"/>
      <c r="P493" s="47">
        <v>307030</v>
      </c>
      <c r="R493" s="47" t="s">
        <v>699</v>
      </c>
    </row>
    <row r="494" spans="1:18">
      <c r="A494" s="2">
        <v>1</v>
      </c>
      <c r="B494" s="2">
        <v>493</v>
      </c>
      <c r="C494" s="38">
        <v>95221101</v>
      </c>
      <c r="D494" s="4"/>
      <c r="E494" s="43" t="s">
        <v>698</v>
      </c>
      <c r="F494" s="2">
        <v>20250731</v>
      </c>
      <c r="G494" s="2">
        <v>20250731</v>
      </c>
      <c r="H494" s="2">
        <v>20250731</v>
      </c>
      <c r="I494" s="44"/>
      <c r="M494" s="40" t="s">
        <v>442</v>
      </c>
      <c r="N494" s="42"/>
      <c r="P494" s="47">
        <v>307030</v>
      </c>
      <c r="R494" s="47" t="s">
        <v>699</v>
      </c>
    </row>
    <row r="495" spans="1:18">
      <c r="A495" s="2">
        <v>1</v>
      </c>
      <c r="B495" s="2">
        <v>494</v>
      </c>
      <c r="C495" s="38">
        <v>95221101</v>
      </c>
      <c r="D495" s="4"/>
      <c r="E495" s="43" t="s">
        <v>698</v>
      </c>
      <c r="F495" s="2">
        <v>20250731</v>
      </c>
      <c r="G495" s="2">
        <v>20250731</v>
      </c>
      <c r="H495" s="2">
        <v>20250731</v>
      </c>
      <c r="I495" s="44"/>
      <c r="M495" s="40" t="s">
        <v>174</v>
      </c>
      <c r="N495" s="42"/>
      <c r="P495" s="47">
        <v>307030</v>
      </c>
      <c r="R495" s="47" t="s">
        <v>699</v>
      </c>
    </row>
    <row r="496" spans="1:18">
      <c r="A496" s="2">
        <v>1</v>
      </c>
      <c r="B496" s="2">
        <v>495</v>
      </c>
      <c r="C496" s="38">
        <v>95221101</v>
      </c>
      <c r="D496" s="4"/>
      <c r="E496" s="43" t="s">
        <v>698</v>
      </c>
      <c r="F496" s="2">
        <v>20250731</v>
      </c>
      <c r="G496" s="2">
        <v>20250731</v>
      </c>
      <c r="H496" s="2">
        <v>20250731</v>
      </c>
      <c r="I496" s="44"/>
      <c r="M496" s="40" t="s">
        <v>443</v>
      </c>
      <c r="N496" s="42"/>
      <c r="P496" s="47">
        <v>307030</v>
      </c>
      <c r="R496" s="47" t="s">
        <v>699</v>
      </c>
    </row>
    <row r="497" spans="1:18">
      <c r="A497" s="2">
        <v>1</v>
      </c>
      <c r="B497" s="2">
        <v>496</v>
      </c>
      <c r="C497" s="38">
        <v>95221102</v>
      </c>
      <c r="D497" s="4"/>
      <c r="E497" s="43" t="s">
        <v>698</v>
      </c>
      <c r="F497" s="2">
        <v>20250731</v>
      </c>
      <c r="G497" s="2">
        <v>20250731</v>
      </c>
      <c r="H497" s="2">
        <v>20250731</v>
      </c>
      <c r="I497" s="40" t="s">
        <v>774</v>
      </c>
      <c r="M497" s="40" t="s">
        <v>152</v>
      </c>
      <c r="N497" s="42"/>
      <c r="P497" s="47">
        <v>307030</v>
      </c>
      <c r="R497" s="47" t="s">
        <v>699</v>
      </c>
    </row>
    <row r="498" spans="1:18">
      <c r="A498" s="2">
        <v>1</v>
      </c>
      <c r="B498" s="2">
        <v>497</v>
      </c>
      <c r="C498" s="38">
        <v>95221102</v>
      </c>
      <c r="D498" s="4"/>
      <c r="E498" s="43" t="s">
        <v>698</v>
      </c>
      <c r="F498" s="2">
        <v>20250731</v>
      </c>
      <c r="G498" s="2">
        <v>20250731</v>
      </c>
      <c r="H498" s="2">
        <v>20250731</v>
      </c>
      <c r="I498" s="40" t="s">
        <v>788</v>
      </c>
      <c r="M498" s="40" t="s">
        <v>152</v>
      </c>
      <c r="N498" s="42"/>
      <c r="P498" s="47">
        <v>307030</v>
      </c>
      <c r="R498" s="47" t="s">
        <v>699</v>
      </c>
    </row>
    <row r="499" spans="1:18">
      <c r="A499" s="2">
        <v>1</v>
      </c>
      <c r="B499" s="2">
        <v>498</v>
      </c>
      <c r="C499" s="38">
        <v>95221102</v>
      </c>
      <c r="D499" s="4"/>
      <c r="E499" s="43" t="s">
        <v>698</v>
      </c>
      <c r="F499" s="2">
        <v>20250731</v>
      </c>
      <c r="G499" s="2">
        <v>20250731</v>
      </c>
      <c r="H499" s="2">
        <v>20250731</v>
      </c>
      <c r="I499" s="40" t="s">
        <v>727</v>
      </c>
      <c r="M499" s="40" t="s">
        <v>152</v>
      </c>
      <c r="N499" s="42"/>
      <c r="P499" s="47">
        <v>307030</v>
      </c>
      <c r="R499" s="47" t="s">
        <v>699</v>
      </c>
    </row>
    <row r="500" spans="1:18">
      <c r="A500" s="2">
        <v>1</v>
      </c>
      <c r="B500" s="2">
        <v>499</v>
      </c>
      <c r="C500" s="38">
        <v>95221102</v>
      </c>
      <c r="D500" s="4"/>
      <c r="E500" s="43" t="s">
        <v>698</v>
      </c>
      <c r="F500" s="2">
        <v>20250731</v>
      </c>
      <c r="G500" s="2">
        <v>20250731</v>
      </c>
      <c r="H500" s="2">
        <v>20250731</v>
      </c>
      <c r="I500" s="40" t="s">
        <v>972</v>
      </c>
      <c r="M500" s="40" t="s">
        <v>126</v>
      </c>
      <c r="N500" s="42"/>
      <c r="P500" s="47">
        <v>307030</v>
      </c>
      <c r="R500" s="47" t="s">
        <v>699</v>
      </c>
    </row>
    <row r="501" spans="1:18">
      <c r="A501" s="2">
        <v>1</v>
      </c>
      <c r="B501" s="2">
        <v>500</v>
      </c>
      <c r="C501" s="38">
        <v>95221102</v>
      </c>
      <c r="D501" s="4"/>
      <c r="E501" s="43" t="s">
        <v>698</v>
      </c>
      <c r="F501" s="2">
        <v>20250731</v>
      </c>
      <c r="G501" s="2">
        <v>20250731</v>
      </c>
      <c r="H501" s="2">
        <v>20250731</v>
      </c>
      <c r="I501" s="40" t="s">
        <v>945</v>
      </c>
      <c r="M501" s="40" t="s">
        <v>152</v>
      </c>
      <c r="N501" s="42"/>
      <c r="P501" s="47">
        <v>307030</v>
      </c>
      <c r="R501" s="47" t="s">
        <v>699</v>
      </c>
    </row>
    <row r="502" spans="1:18">
      <c r="A502" s="2">
        <v>1</v>
      </c>
      <c r="B502" s="2">
        <v>501</v>
      </c>
      <c r="C502" s="38">
        <v>95221102</v>
      </c>
      <c r="D502" s="4"/>
      <c r="E502" s="43" t="s">
        <v>698</v>
      </c>
      <c r="F502" s="2">
        <v>20250731</v>
      </c>
      <c r="G502" s="2">
        <v>20250731</v>
      </c>
      <c r="H502" s="2">
        <v>20250731</v>
      </c>
      <c r="I502" s="40" t="s">
        <v>1045</v>
      </c>
      <c r="M502" s="40" t="s">
        <v>152</v>
      </c>
      <c r="N502" s="42"/>
      <c r="P502" s="47">
        <v>307030</v>
      </c>
      <c r="R502" s="47" t="s">
        <v>699</v>
      </c>
    </row>
    <row r="503" spans="1:18">
      <c r="A503" s="2">
        <v>1</v>
      </c>
      <c r="B503" s="2">
        <v>502</v>
      </c>
      <c r="C503" s="38">
        <v>95221102</v>
      </c>
      <c r="D503" s="4"/>
      <c r="E503" s="43" t="s">
        <v>698</v>
      </c>
      <c r="F503" s="2">
        <v>20250731</v>
      </c>
      <c r="G503" s="2">
        <v>20250731</v>
      </c>
      <c r="H503" s="2">
        <v>20250731</v>
      </c>
      <c r="I503" s="40" t="s">
        <v>1074</v>
      </c>
      <c r="M503" s="40" t="s">
        <v>152</v>
      </c>
      <c r="N503" s="42"/>
      <c r="P503" s="47">
        <v>307030</v>
      </c>
      <c r="R503" s="47" t="s">
        <v>699</v>
      </c>
    </row>
    <row r="504" spans="1:18">
      <c r="A504" s="2">
        <v>1</v>
      </c>
      <c r="B504" s="2">
        <v>503</v>
      </c>
      <c r="C504" s="38">
        <v>95211404</v>
      </c>
      <c r="D504" s="4"/>
      <c r="E504" s="43" t="s">
        <v>698</v>
      </c>
      <c r="F504" s="2">
        <v>20250731</v>
      </c>
      <c r="G504" s="2">
        <v>20250731</v>
      </c>
      <c r="H504" s="2">
        <v>20250731</v>
      </c>
      <c r="I504" s="44"/>
      <c r="M504" s="40" t="s">
        <v>444</v>
      </c>
      <c r="N504" s="42"/>
      <c r="P504" s="47">
        <v>307030</v>
      </c>
      <c r="R504" s="47" t="s">
        <v>699</v>
      </c>
    </row>
    <row r="505" spans="1:18">
      <c r="A505" s="2">
        <v>1</v>
      </c>
      <c r="B505" s="2">
        <v>504</v>
      </c>
      <c r="C505" s="38">
        <v>95211404</v>
      </c>
      <c r="D505" s="4"/>
      <c r="E505" s="43" t="s">
        <v>698</v>
      </c>
      <c r="F505" s="2">
        <v>20250731</v>
      </c>
      <c r="G505" s="2">
        <v>20250731</v>
      </c>
      <c r="H505" s="2">
        <v>20250731</v>
      </c>
      <c r="I505" s="44"/>
      <c r="M505" s="40" t="s">
        <v>122</v>
      </c>
      <c r="N505" s="42"/>
      <c r="P505" s="47">
        <v>307030</v>
      </c>
      <c r="R505" s="47" t="s">
        <v>699</v>
      </c>
    </row>
    <row r="506" spans="1:18">
      <c r="A506" s="2">
        <v>1</v>
      </c>
      <c r="B506" s="2">
        <v>505</v>
      </c>
      <c r="C506" s="37">
        <v>95271101</v>
      </c>
      <c r="D506" s="4"/>
      <c r="E506" s="43" t="s">
        <v>698</v>
      </c>
      <c r="F506" s="2">
        <v>20250731</v>
      </c>
      <c r="G506" s="2">
        <v>20250731</v>
      </c>
      <c r="H506" s="2">
        <v>20250731</v>
      </c>
      <c r="I506" s="40" t="s">
        <v>781</v>
      </c>
      <c r="M506" s="40" t="s">
        <v>155</v>
      </c>
      <c r="N506" s="42"/>
      <c r="P506" s="47">
        <v>307030</v>
      </c>
      <c r="R506" s="47" t="s">
        <v>699</v>
      </c>
    </row>
    <row r="507" spans="1:18">
      <c r="A507" s="2">
        <v>1</v>
      </c>
      <c r="B507" s="2">
        <v>506</v>
      </c>
      <c r="C507" s="37">
        <v>95271101</v>
      </c>
      <c r="D507" s="4"/>
      <c r="E507" s="43" t="s">
        <v>698</v>
      </c>
      <c r="F507" s="2">
        <v>20250731</v>
      </c>
      <c r="G507" s="2">
        <v>20250731</v>
      </c>
      <c r="H507" s="2">
        <v>20250731</v>
      </c>
      <c r="I507" s="40" t="s">
        <v>790</v>
      </c>
      <c r="M507" s="40" t="s">
        <v>445</v>
      </c>
      <c r="N507" s="42"/>
      <c r="P507" s="47">
        <v>307030</v>
      </c>
      <c r="R507" s="47" t="s">
        <v>699</v>
      </c>
    </row>
    <row r="508" spans="1:18">
      <c r="A508" s="2">
        <v>1</v>
      </c>
      <c r="B508" s="2">
        <v>507</v>
      </c>
      <c r="C508" s="37">
        <v>95271101</v>
      </c>
      <c r="D508" s="4"/>
      <c r="E508" s="43" t="s">
        <v>698</v>
      </c>
      <c r="F508" s="2">
        <v>20250731</v>
      </c>
      <c r="G508" s="2">
        <v>20250731</v>
      </c>
      <c r="H508" s="2">
        <v>20250731</v>
      </c>
      <c r="I508" s="40" t="s">
        <v>748</v>
      </c>
      <c r="M508" s="40" t="s">
        <v>446</v>
      </c>
      <c r="N508" s="42"/>
      <c r="P508" s="47">
        <v>307030</v>
      </c>
      <c r="R508" s="47" t="s">
        <v>699</v>
      </c>
    </row>
    <row r="509" spans="1:18">
      <c r="A509" s="2">
        <v>1</v>
      </c>
      <c r="B509" s="2">
        <v>508</v>
      </c>
      <c r="C509" s="37">
        <v>95271101</v>
      </c>
      <c r="D509" s="4"/>
      <c r="E509" s="43" t="s">
        <v>698</v>
      </c>
      <c r="F509" s="2">
        <v>20250731</v>
      </c>
      <c r="G509" s="2">
        <v>20250731</v>
      </c>
      <c r="H509" s="2">
        <v>20250731</v>
      </c>
      <c r="I509" s="40" t="s">
        <v>700</v>
      </c>
      <c r="M509" s="40" t="s">
        <v>447</v>
      </c>
      <c r="N509" s="42"/>
      <c r="P509" s="47">
        <v>307030</v>
      </c>
      <c r="R509" s="47" t="s">
        <v>699</v>
      </c>
    </row>
    <row r="510" spans="1:18">
      <c r="A510" s="2">
        <v>1</v>
      </c>
      <c r="B510" s="2">
        <v>509</v>
      </c>
      <c r="C510" s="37">
        <v>95271101</v>
      </c>
      <c r="D510" s="4"/>
      <c r="E510" s="43" t="s">
        <v>698</v>
      </c>
      <c r="F510" s="2">
        <v>20250731</v>
      </c>
      <c r="G510" s="2">
        <v>20250731</v>
      </c>
      <c r="H510" s="2">
        <v>20250731</v>
      </c>
      <c r="I510" s="40" t="s">
        <v>703</v>
      </c>
      <c r="M510" s="40" t="s">
        <v>448</v>
      </c>
      <c r="N510" s="42"/>
      <c r="P510" s="47">
        <v>307030</v>
      </c>
      <c r="R510" s="47" t="s">
        <v>699</v>
      </c>
    </row>
    <row r="511" spans="1:18">
      <c r="A511" s="2">
        <v>1</v>
      </c>
      <c r="B511" s="2">
        <v>510</v>
      </c>
      <c r="C511" s="37">
        <v>95271101</v>
      </c>
      <c r="D511" s="4"/>
      <c r="E511" s="43" t="s">
        <v>698</v>
      </c>
      <c r="F511" s="2">
        <v>20250731</v>
      </c>
      <c r="G511" s="2">
        <v>20250731</v>
      </c>
      <c r="H511" s="2">
        <v>20250731</v>
      </c>
      <c r="I511" s="40" t="s">
        <v>785</v>
      </c>
      <c r="M511" s="40" t="s">
        <v>449</v>
      </c>
      <c r="N511" s="42"/>
      <c r="P511" s="47">
        <v>307030</v>
      </c>
      <c r="R511" s="47" t="s">
        <v>699</v>
      </c>
    </row>
    <row r="512" spans="1:18">
      <c r="A512" s="2">
        <v>1</v>
      </c>
      <c r="B512" s="2">
        <v>511</v>
      </c>
      <c r="C512" s="37">
        <v>95271101</v>
      </c>
      <c r="D512" s="4"/>
      <c r="E512" s="43" t="s">
        <v>698</v>
      </c>
      <c r="F512" s="2">
        <v>20250731</v>
      </c>
      <c r="G512" s="2">
        <v>20250731</v>
      </c>
      <c r="H512" s="2">
        <v>20250731</v>
      </c>
      <c r="I512" s="40" t="s">
        <v>1127</v>
      </c>
      <c r="M512" s="40" t="s">
        <v>163</v>
      </c>
      <c r="N512" s="42"/>
      <c r="P512" s="47">
        <v>307030</v>
      </c>
      <c r="R512" s="47" t="s">
        <v>699</v>
      </c>
    </row>
    <row r="513" spans="1:18">
      <c r="A513" s="2">
        <v>1</v>
      </c>
      <c r="B513" s="2">
        <v>512</v>
      </c>
      <c r="C513" s="37">
        <v>95271101</v>
      </c>
      <c r="D513" s="4"/>
      <c r="E513" s="43" t="s">
        <v>698</v>
      </c>
      <c r="F513" s="2">
        <v>20250731</v>
      </c>
      <c r="G513" s="2">
        <v>20250731</v>
      </c>
      <c r="H513" s="2">
        <v>20250731</v>
      </c>
      <c r="I513" s="40" t="s">
        <v>759</v>
      </c>
      <c r="M513" s="40" t="s">
        <v>450</v>
      </c>
      <c r="N513" s="42"/>
      <c r="P513" s="47">
        <v>307030</v>
      </c>
      <c r="R513" s="47" t="s">
        <v>699</v>
      </c>
    </row>
    <row r="514" spans="1:18">
      <c r="A514" s="2">
        <v>1</v>
      </c>
      <c r="B514" s="2">
        <v>513</v>
      </c>
      <c r="C514" s="37">
        <v>95271101</v>
      </c>
      <c r="D514" s="4"/>
      <c r="E514" s="43" t="s">
        <v>698</v>
      </c>
      <c r="F514" s="2">
        <v>20250731</v>
      </c>
      <c r="G514" s="2">
        <v>20250731</v>
      </c>
      <c r="H514" s="2">
        <v>20250731</v>
      </c>
      <c r="I514" s="40" t="s">
        <v>760</v>
      </c>
      <c r="M514" s="40" t="s">
        <v>451</v>
      </c>
      <c r="N514" s="42"/>
      <c r="P514" s="47">
        <v>307030</v>
      </c>
      <c r="R514" s="47" t="s">
        <v>699</v>
      </c>
    </row>
    <row r="515" spans="1:18">
      <c r="A515" s="2">
        <v>1</v>
      </c>
      <c r="B515" s="2">
        <v>514</v>
      </c>
      <c r="C515" s="37">
        <v>95271101</v>
      </c>
      <c r="D515" s="4"/>
      <c r="E515" s="43" t="s">
        <v>698</v>
      </c>
      <c r="F515" s="2">
        <v>20250731</v>
      </c>
      <c r="G515" s="2">
        <v>20250731</v>
      </c>
      <c r="H515" s="2">
        <v>20250731</v>
      </c>
      <c r="I515" s="40" t="s">
        <v>767</v>
      </c>
      <c r="M515" s="40" t="s">
        <v>452</v>
      </c>
      <c r="N515" s="42"/>
      <c r="P515" s="47">
        <v>307030</v>
      </c>
      <c r="R515" s="47" t="s">
        <v>699</v>
      </c>
    </row>
    <row r="516" spans="1:18">
      <c r="A516" s="2">
        <v>1</v>
      </c>
      <c r="B516" s="2">
        <v>515</v>
      </c>
      <c r="C516" s="37">
        <v>95271101</v>
      </c>
      <c r="D516" s="4"/>
      <c r="E516" s="43" t="s">
        <v>698</v>
      </c>
      <c r="F516" s="2">
        <v>20250731</v>
      </c>
      <c r="G516" s="2">
        <v>20250731</v>
      </c>
      <c r="H516" s="2">
        <v>20250731</v>
      </c>
      <c r="I516" s="40" t="s">
        <v>768</v>
      </c>
      <c r="M516" s="40" t="s">
        <v>157</v>
      </c>
      <c r="N516" s="42"/>
      <c r="P516" s="47">
        <v>307030</v>
      </c>
      <c r="R516" s="47" t="s">
        <v>699</v>
      </c>
    </row>
    <row r="517" spans="1:18">
      <c r="A517" s="2">
        <v>1</v>
      </c>
      <c r="B517" s="2">
        <v>516</v>
      </c>
      <c r="C517" s="37">
        <v>95271101</v>
      </c>
      <c r="D517" s="4"/>
      <c r="E517" s="43" t="s">
        <v>698</v>
      </c>
      <c r="F517" s="2">
        <v>20250731</v>
      </c>
      <c r="G517" s="2">
        <v>20250731</v>
      </c>
      <c r="H517" s="2">
        <v>20250731</v>
      </c>
      <c r="I517" s="40" t="s">
        <v>774</v>
      </c>
      <c r="M517" s="40" t="s">
        <v>453</v>
      </c>
      <c r="N517" s="42"/>
      <c r="P517" s="47">
        <v>307030</v>
      </c>
      <c r="R517" s="47" t="s">
        <v>699</v>
      </c>
    </row>
    <row r="518" spans="1:18">
      <c r="A518" s="2">
        <v>1</v>
      </c>
      <c r="B518" s="2">
        <v>517</v>
      </c>
      <c r="C518" s="37">
        <v>95271101</v>
      </c>
      <c r="D518" s="4"/>
      <c r="E518" s="43" t="s">
        <v>698</v>
      </c>
      <c r="F518" s="2">
        <v>20250731</v>
      </c>
      <c r="G518" s="2">
        <v>20250731</v>
      </c>
      <c r="H518" s="2">
        <v>20250731</v>
      </c>
      <c r="I518" s="40" t="s">
        <v>788</v>
      </c>
      <c r="M518" s="40" t="s">
        <v>454</v>
      </c>
      <c r="N518" s="42"/>
      <c r="P518" s="47">
        <v>307030</v>
      </c>
      <c r="R518" s="47" t="s">
        <v>699</v>
      </c>
    </row>
    <row r="519" spans="1:18">
      <c r="A519" s="2">
        <v>1</v>
      </c>
      <c r="B519" s="2">
        <v>518</v>
      </c>
      <c r="C519" s="37">
        <v>95271101</v>
      </c>
      <c r="D519" s="4"/>
      <c r="E519" s="43" t="s">
        <v>698</v>
      </c>
      <c r="F519" s="2">
        <v>20250731</v>
      </c>
      <c r="G519" s="2">
        <v>20250731</v>
      </c>
      <c r="H519" s="2">
        <v>20250731</v>
      </c>
      <c r="I519" s="40" t="s">
        <v>750</v>
      </c>
      <c r="M519" s="40" t="s">
        <v>455</v>
      </c>
      <c r="N519" s="42"/>
      <c r="P519" s="47">
        <v>307030</v>
      </c>
      <c r="R519" s="47" t="s">
        <v>699</v>
      </c>
    </row>
    <row r="520" spans="1:18">
      <c r="A520" s="2">
        <v>1</v>
      </c>
      <c r="B520" s="2">
        <v>519</v>
      </c>
      <c r="C520" s="37">
        <v>95271101</v>
      </c>
      <c r="D520" s="4"/>
      <c r="E520" s="43" t="s">
        <v>698</v>
      </c>
      <c r="F520" s="2">
        <v>20250731</v>
      </c>
      <c r="G520" s="2">
        <v>20250731</v>
      </c>
      <c r="H520" s="2">
        <v>20250731</v>
      </c>
      <c r="I520" s="40" t="s">
        <v>755</v>
      </c>
      <c r="M520" s="40" t="s">
        <v>456</v>
      </c>
      <c r="N520" s="42"/>
      <c r="P520" s="47">
        <v>307030</v>
      </c>
      <c r="R520" s="47" t="s">
        <v>699</v>
      </c>
    </row>
    <row r="521" spans="1:18">
      <c r="A521" s="2">
        <v>1</v>
      </c>
      <c r="B521" s="2">
        <v>520</v>
      </c>
      <c r="C521" s="37">
        <v>95271101</v>
      </c>
      <c r="D521" s="4"/>
      <c r="E521" s="43" t="s">
        <v>698</v>
      </c>
      <c r="F521" s="2">
        <v>20250731</v>
      </c>
      <c r="G521" s="2">
        <v>20250731</v>
      </c>
      <c r="H521" s="2">
        <v>20250731</v>
      </c>
      <c r="I521" s="40" t="s">
        <v>763</v>
      </c>
      <c r="M521" s="40" t="s">
        <v>457</v>
      </c>
      <c r="N521" s="42"/>
      <c r="P521" s="47">
        <v>307030</v>
      </c>
      <c r="R521" s="47" t="s">
        <v>699</v>
      </c>
    </row>
    <row r="522" spans="1:18">
      <c r="A522" s="2">
        <v>1</v>
      </c>
      <c r="B522" s="2">
        <v>521</v>
      </c>
      <c r="C522" s="37">
        <v>95271101</v>
      </c>
      <c r="D522" s="4"/>
      <c r="E522" s="43" t="s">
        <v>698</v>
      </c>
      <c r="F522" s="2">
        <v>20250731</v>
      </c>
      <c r="G522" s="2">
        <v>20250731</v>
      </c>
      <c r="H522" s="2">
        <v>20250731</v>
      </c>
      <c r="I522" s="40" t="s">
        <v>766</v>
      </c>
      <c r="M522" s="40" t="s">
        <v>458</v>
      </c>
      <c r="N522" s="42"/>
      <c r="P522" s="47">
        <v>307030</v>
      </c>
      <c r="R522" s="47" t="s">
        <v>699</v>
      </c>
    </row>
    <row r="523" spans="1:18">
      <c r="A523" s="2">
        <v>1</v>
      </c>
      <c r="B523" s="2">
        <v>522</v>
      </c>
      <c r="C523" s="37">
        <v>95271101</v>
      </c>
      <c r="D523" s="4"/>
      <c r="E523" s="43" t="s">
        <v>698</v>
      </c>
      <c r="F523" s="2">
        <v>20250731</v>
      </c>
      <c r="G523" s="2">
        <v>20250731</v>
      </c>
      <c r="H523" s="2">
        <v>20250731</v>
      </c>
      <c r="I523" s="40" t="s">
        <v>772</v>
      </c>
      <c r="M523" s="40" t="s">
        <v>459</v>
      </c>
      <c r="N523" s="42"/>
      <c r="P523" s="47">
        <v>307030</v>
      </c>
      <c r="R523" s="47" t="s">
        <v>699</v>
      </c>
    </row>
    <row r="524" spans="1:18">
      <c r="A524" s="2">
        <v>1</v>
      </c>
      <c r="B524" s="2">
        <v>523</v>
      </c>
      <c r="C524" s="37">
        <v>95271101</v>
      </c>
      <c r="D524" s="4"/>
      <c r="E524" s="43" t="s">
        <v>698</v>
      </c>
      <c r="F524" s="2">
        <v>20250731</v>
      </c>
      <c r="G524" s="2">
        <v>20250731</v>
      </c>
      <c r="H524" s="2">
        <v>20250731</v>
      </c>
      <c r="I524" s="40" t="s">
        <v>777</v>
      </c>
      <c r="M524" s="40" t="s">
        <v>460</v>
      </c>
      <c r="N524" s="42"/>
      <c r="P524" s="47">
        <v>307030</v>
      </c>
      <c r="R524" s="47" t="s">
        <v>699</v>
      </c>
    </row>
    <row r="525" spans="1:18">
      <c r="A525" s="2">
        <v>1</v>
      </c>
      <c r="B525" s="2">
        <v>524</v>
      </c>
      <c r="C525" s="37">
        <v>95271101</v>
      </c>
      <c r="D525" s="4"/>
      <c r="E525" s="43" t="s">
        <v>698</v>
      </c>
      <c r="F525" s="2">
        <v>20250731</v>
      </c>
      <c r="G525" s="2">
        <v>20250731</v>
      </c>
      <c r="H525" s="2">
        <v>20250731</v>
      </c>
      <c r="I525" s="40" t="s">
        <v>778</v>
      </c>
      <c r="M525" s="40" t="s">
        <v>461</v>
      </c>
      <c r="N525" s="42"/>
      <c r="P525" s="47">
        <v>307030</v>
      </c>
      <c r="R525" s="47" t="s">
        <v>699</v>
      </c>
    </row>
    <row r="526" spans="1:18">
      <c r="A526" s="2">
        <v>1</v>
      </c>
      <c r="B526" s="2">
        <v>525</v>
      </c>
      <c r="C526" s="37">
        <v>95271101</v>
      </c>
      <c r="D526" s="4"/>
      <c r="E526" s="43" t="s">
        <v>698</v>
      </c>
      <c r="F526" s="2">
        <v>20250731</v>
      </c>
      <c r="G526" s="2">
        <v>20250731</v>
      </c>
      <c r="H526" s="2">
        <v>20250731</v>
      </c>
      <c r="I526" s="40" t="s">
        <v>793</v>
      </c>
      <c r="M526" s="40" t="s">
        <v>462</v>
      </c>
      <c r="N526" s="42"/>
      <c r="P526" s="47">
        <v>307030</v>
      </c>
      <c r="R526" s="47" t="s">
        <v>699</v>
      </c>
    </row>
    <row r="527" spans="1:18">
      <c r="A527" s="2">
        <v>1</v>
      </c>
      <c r="B527" s="2">
        <v>526</v>
      </c>
      <c r="C527" s="37">
        <v>95271101</v>
      </c>
      <c r="D527" s="4"/>
      <c r="E527" s="43" t="s">
        <v>698</v>
      </c>
      <c r="F527" s="2">
        <v>20250731</v>
      </c>
      <c r="G527" s="2">
        <v>20250731</v>
      </c>
      <c r="H527" s="2">
        <v>20250731</v>
      </c>
      <c r="I527" s="40" t="s">
        <v>712</v>
      </c>
      <c r="M527" s="40" t="s">
        <v>463</v>
      </c>
      <c r="N527" s="42"/>
      <c r="P527" s="47">
        <v>307030</v>
      </c>
      <c r="R527" s="47" t="s">
        <v>699</v>
      </c>
    </row>
    <row r="528" spans="1:18">
      <c r="A528" s="2">
        <v>1</v>
      </c>
      <c r="B528" s="2">
        <v>527</v>
      </c>
      <c r="C528" s="37">
        <v>95271101</v>
      </c>
      <c r="D528" s="4"/>
      <c r="E528" s="43" t="s">
        <v>698</v>
      </c>
      <c r="F528" s="2">
        <v>20250731</v>
      </c>
      <c r="G528" s="2">
        <v>20250731</v>
      </c>
      <c r="H528" s="2">
        <v>20250731</v>
      </c>
      <c r="I528" s="40" t="s">
        <v>797</v>
      </c>
      <c r="M528" s="40" t="s">
        <v>464</v>
      </c>
      <c r="N528" s="42"/>
      <c r="P528" s="47">
        <v>307030</v>
      </c>
      <c r="R528" s="47" t="s">
        <v>699</v>
      </c>
    </row>
    <row r="529" spans="1:18">
      <c r="A529" s="2">
        <v>1</v>
      </c>
      <c r="B529" s="2">
        <v>528</v>
      </c>
      <c r="C529" s="37">
        <v>95271101</v>
      </c>
      <c r="D529" s="4"/>
      <c r="E529" s="43" t="s">
        <v>698</v>
      </c>
      <c r="F529" s="2">
        <v>20250731</v>
      </c>
      <c r="G529" s="2">
        <v>20250731</v>
      </c>
      <c r="H529" s="2">
        <v>20250731</v>
      </c>
      <c r="I529" s="40" t="s">
        <v>714</v>
      </c>
      <c r="M529" s="40" t="s">
        <v>465</v>
      </c>
      <c r="N529" s="42"/>
      <c r="P529" s="47">
        <v>307030</v>
      </c>
      <c r="R529" s="47" t="s">
        <v>699</v>
      </c>
    </row>
    <row r="530" spans="1:18">
      <c r="A530" s="2">
        <v>1</v>
      </c>
      <c r="B530" s="2">
        <v>529</v>
      </c>
      <c r="C530" s="37">
        <v>95271101</v>
      </c>
      <c r="D530" s="4"/>
      <c r="E530" s="43" t="s">
        <v>698</v>
      </c>
      <c r="F530" s="2">
        <v>20250731</v>
      </c>
      <c r="G530" s="2">
        <v>20250731</v>
      </c>
      <c r="H530" s="2">
        <v>20250731</v>
      </c>
      <c r="I530" s="40" t="s">
        <v>812</v>
      </c>
      <c r="M530" s="40" t="s">
        <v>466</v>
      </c>
      <c r="N530" s="42"/>
      <c r="P530" s="47">
        <v>307030</v>
      </c>
      <c r="R530" s="47" t="s">
        <v>699</v>
      </c>
    </row>
    <row r="531" spans="1:18">
      <c r="A531" s="2">
        <v>1</v>
      </c>
      <c r="B531" s="2">
        <v>530</v>
      </c>
      <c r="C531" s="37">
        <v>95271101</v>
      </c>
      <c r="D531" s="4"/>
      <c r="E531" s="43" t="s">
        <v>698</v>
      </c>
      <c r="F531" s="2">
        <v>20250731</v>
      </c>
      <c r="G531" s="2">
        <v>20250731</v>
      </c>
      <c r="H531" s="2">
        <v>20250731</v>
      </c>
      <c r="I531" s="40" t="s">
        <v>815</v>
      </c>
      <c r="M531" s="40" t="s">
        <v>467</v>
      </c>
      <c r="N531" s="42"/>
      <c r="P531" s="47">
        <v>307030</v>
      </c>
      <c r="R531" s="47" t="s">
        <v>699</v>
      </c>
    </row>
    <row r="532" spans="1:18">
      <c r="A532" s="2">
        <v>1</v>
      </c>
      <c r="B532" s="2">
        <v>531</v>
      </c>
      <c r="C532" s="37">
        <v>95271101</v>
      </c>
      <c r="D532" s="4"/>
      <c r="E532" s="43" t="s">
        <v>698</v>
      </c>
      <c r="F532" s="2">
        <v>20250731</v>
      </c>
      <c r="G532" s="2">
        <v>20250731</v>
      </c>
      <c r="H532" s="2">
        <v>20250731</v>
      </c>
      <c r="I532" s="40" t="s">
        <v>880</v>
      </c>
      <c r="M532" s="40" t="s">
        <v>174</v>
      </c>
      <c r="N532" s="42"/>
      <c r="P532" s="47">
        <v>307030</v>
      </c>
      <c r="R532" s="47" t="s">
        <v>699</v>
      </c>
    </row>
    <row r="533" spans="1:18">
      <c r="A533" s="2">
        <v>1</v>
      </c>
      <c r="B533" s="2">
        <v>532</v>
      </c>
      <c r="C533" s="37">
        <v>95271101</v>
      </c>
      <c r="D533" s="4"/>
      <c r="E533" s="43" t="s">
        <v>698</v>
      </c>
      <c r="F533" s="2">
        <v>20250731</v>
      </c>
      <c r="G533" s="2">
        <v>20250731</v>
      </c>
      <c r="H533" s="2">
        <v>20250731</v>
      </c>
      <c r="I533" s="40" t="s">
        <v>892</v>
      </c>
      <c r="M533" s="40" t="s">
        <v>468</v>
      </c>
      <c r="N533" s="42"/>
      <c r="P533" s="47">
        <v>307030</v>
      </c>
      <c r="R533" s="47" t="s">
        <v>699</v>
      </c>
    </row>
    <row r="534" spans="1:18">
      <c r="A534" s="2">
        <v>1</v>
      </c>
      <c r="B534" s="2">
        <v>533</v>
      </c>
      <c r="C534" s="37">
        <v>95271101</v>
      </c>
      <c r="D534" s="4"/>
      <c r="E534" s="43" t="s">
        <v>698</v>
      </c>
      <c r="F534" s="2">
        <v>20250731</v>
      </c>
      <c r="G534" s="2">
        <v>20250731</v>
      </c>
      <c r="H534" s="2">
        <v>20250731</v>
      </c>
      <c r="I534" s="40" t="s">
        <v>900</v>
      </c>
      <c r="M534" s="40" t="s">
        <v>469</v>
      </c>
      <c r="N534" s="42"/>
      <c r="P534" s="47">
        <v>307030</v>
      </c>
      <c r="R534" s="47" t="s">
        <v>699</v>
      </c>
    </row>
    <row r="535" spans="1:18">
      <c r="A535" s="2">
        <v>1</v>
      </c>
      <c r="B535" s="2">
        <v>534</v>
      </c>
      <c r="C535" s="37">
        <v>95271101</v>
      </c>
      <c r="D535" s="4"/>
      <c r="E535" s="43" t="s">
        <v>698</v>
      </c>
      <c r="F535" s="2">
        <v>20250731</v>
      </c>
      <c r="G535" s="2">
        <v>20250731</v>
      </c>
      <c r="H535" s="2">
        <v>20250731</v>
      </c>
      <c r="I535" s="40" t="s">
        <v>924</v>
      </c>
      <c r="M535" s="40" t="s">
        <v>470</v>
      </c>
      <c r="N535" s="42"/>
      <c r="P535" s="47">
        <v>307030</v>
      </c>
      <c r="R535" s="47" t="s">
        <v>699</v>
      </c>
    </row>
    <row r="536" spans="1:18">
      <c r="A536" s="2">
        <v>1</v>
      </c>
      <c r="B536" s="2">
        <v>535</v>
      </c>
      <c r="C536" s="37">
        <v>95271101</v>
      </c>
      <c r="D536" s="4"/>
      <c r="E536" s="43" t="s">
        <v>698</v>
      </c>
      <c r="F536" s="2">
        <v>20250731</v>
      </c>
      <c r="G536" s="2">
        <v>20250731</v>
      </c>
      <c r="H536" s="2">
        <v>20250731</v>
      </c>
      <c r="I536" s="40" t="s">
        <v>956</v>
      </c>
      <c r="M536" s="40" t="s">
        <v>175</v>
      </c>
      <c r="N536" s="42"/>
      <c r="P536" s="47">
        <v>307030</v>
      </c>
      <c r="R536" s="47" t="s">
        <v>699</v>
      </c>
    </row>
    <row r="537" spans="1:18">
      <c r="A537" s="2">
        <v>1</v>
      </c>
      <c r="B537" s="2">
        <v>536</v>
      </c>
      <c r="C537" s="37">
        <v>95271101</v>
      </c>
      <c r="D537" s="4"/>
      <c r="E537" s="43" t="s">
        <v>698</v>
      </c>
      <c r="F537" s="2">
        <v>20250731</v>
      </c>
      <c r="G537" s="2">
        <v>20250731</v>
      </c>
      <c r="H537" s="2">
        <v>20250731</v>
      </c>
      <c r="I537" s="40" t="s">
        <v>970</v>
      </c>
      <c r="M537" s="40" t="s">
        <v>471</v>
      </c>
      <c r="N537" s="42"/>
      <c r="P537" s="47">
        <v>307030</v>
      </c>
      <c r="R537" s="47" t="s">
        <v>699</v>
      </c>
    </row>
    <row r="538" spans="1:18">
      <c r="A538" s="2">
        <v>1</v>
      </c>
      <c r="B538" s="2">
        <v>537</v>
      </c>
      <c r="C538" s="37">
        <v>95271101</v>
      </c>
      <c r="D538" s="4"/>
      <c r="E538" s="43" t="s">
        <v>698</v>
      </c>
      <c r="F538" s="2">
        <v>20250731</v>
      </c>
      <c r="G538" s="2">
        <v>20250731</v>
      </c>
      <c r="H538" s="2">
        <v>20250731</v>
      </c>
      <c r="I538" s="40" t="s">
        <v>1060</v>
      </c>
      <c r="M538" s="40" t="s">
        <v>229</v>
      </c>
      <c r="N538" s="42"/>
      <c r="P538" s="47">
        <v>307030</v>
      </c>
      <c r="R538" s="47" t="s">
        <v>699</v>
      </c>
    </row>
    <row r="539" spans="1:18">
      <c r="A539" s="2">
        <v>1</v>
      </c>
      <c r="B539" s="2">
        <v>538</v>
      </c>
      <c r="C539" s="37">
        <v>95271101</v>
      </c>
      <c r="D539" s="4"/>
      <c r="E539" s="43" t="s">
        <v>698</v>
      </c>
      <c r="F539" s="2">
        <v>20250731</v>
      </c>
      <c r="G539" s="2">
        <v>20250731</v>
      </c>
      <c r="H539" s="2">
        <v>20250731</v>
      </c>
      <c r="I539" s="40" t="s">
        <v>1069</v>
      </c>
      <c r="M539" s="40" t="s">
        <v>472</v>
      </c>
      <c r="N539" s="42"/>
      <c r="P539" s="47">
        <v>307030</v>
      </c>
      <c r="R539" s="47" t="s">
        <v>699</v>
      </c>
    </row>
    <row r="540" spans="1:18">
      <c r="A540" s="2">
        <v>1</v>
      </c>
      <c r="B540" s="2">
        <v>539</v>
      </c>
      <c r="C540" s="37">
        <v>95271101</v>
      </c>
      <c r="D540" s="4"/>
      <c r="E540" s="43" t="s">
        <v>698</v>
      </c>
      <c r="F540" s="2">
        <v>20250731</v>
      </c>
      <c r="G540" s="2">
        <v>20250731</v>
      </c>
      <c r="H540" s="2">
        <v>20250731</v>
      </c>
      <c r="I540" s="40" t="s">
        <v>1075</v>
      </c>
      <c r="M540" s="40" t="s">
        <v>473</v>
      </c>
      <c r="N540" s="42"/>
      <c r="P540" s="47">
        <v>307030</v>
      </c>
      <c r="R540" s="47" t="s">
        <v>699</v>
      </c>
    </row>
    <row r="541" spans="1:18">
      <c r="A541" s="2">
        <v>1</v>
      </c>
      <c r="B541" s="2">
        <v>540</v>
      </c>
      <c r="C541" s="37">
        <v>95271101</v>
      </c>
      <c r="D541" s="4"/>
      <c r="E541" s="43" t="s">
        <v>698</v>
      </c>
      <c r="F541" s="2">
        <v>20250731</v>
      </c>
      <c r="G541" s="2">
        <v>20250731</v>
      </c>
      <c r="H541" s="2">
        <v>20250731</v>
      </c>
      <c r="I541" s="40" t="s">
        <v>1077</v>
      </c>
      <c r="M541" s="40" t="s">
        <v>474</v>
      </c>
      <c r="N541" s="42"/>
      <c r="P541" s="47">
        <v>307030</v>
      </c>
      <c r="R541" s="47" t="s">
        <v>699</v>
      </c>
    </row>
    <row r="542" spans="1:18">
      <c r="A542" s="2">
        <v>1</v>
      </c>
      <c r="B542" s="2">
        <v>541</v>
      </c>
      <c r="C542" s="37">
        <v>95271101</v>
      </c>
      <c r="D542" s="4"/>
      <c r="E542" s="43" t="s">
        <v>698</v>
      </c>
      <c r="F542" s="2">
        <v>20250731</v>
      </c>
      <c r="G542" s="2">
        <v>20250731</v>
      </c>
      <c r="H542" s="2">
        <v>20250731</v>
      </c>
      <c r="I542" s="40" t="s">
        <v>1095</v>
      </c>
      <c r="M542" s="40" t="s">
        <v>475</v>
      </c>
      <c r="N542" s="42"/>
      <c r="P542" s="47">
        <v>307030</v>
      </c>
      <c r="R542" s="47" t="s">
        <v>699</v>
      </c>
    </row>
    <row r="543" spans="1:18">
      <c r="A543" s="2">
        <v>1</v>
      </c>
      <c r="B543" s="2">
        <v>542</v>
      </c>
      <c r="C543" s="37">
        <v>95271101</v>
      </c>
      <c r="D543" s="4"/>
      <c r="E543" s="43" t="s">
        <v>698</v>
      </c>
      <c r="F543" s="2">
        <v>20250731</v>
      </c>
      <c r="G543" s="2">
        <v>20250731</v>
      </c>
      <c r="H543" s="2">
        <v>20250731</v>
      </c>
      <c r="I543" s="40" t="s">
        <v>1098</v>
      </c>
      <c r="M543" s="40" t="s">
        <v>476</v>
      </c>
      <c r="N543" s="42"/>
      <c r="P543" s="47">
        <v>307030</v>
      </c>
      <c r="R543" s="47" t="s">
        <v>699</v>
      </c>
    </row>
    <row r="544" spans="1:18">
      <c r="A544" s="2">
        <v>1</v>
      </c>
      <c r="B544" s="2">
        <v>543</v>
      </c>
      <c r="C544" s="37">
        <v>95271101</v>
      </c>
      <c r="D544" s="4"/>
      <c r="E544" s="43" t="s">
        <v>698</v>
      </c>
      <c r="F544" s="2">
        <v>20250731</v>
      </c>
      <c r="G544" s="2">
        <v>20250731</v>
      </c>
      <c r="H544" s="2">
        <v>20250731</v>
      </c>
      <c r="I544" s="40" t="s">
        <v>1103</v>
      </c>
      <c r="M544" s="40" t="s">
        <v>477</v>
      </c>
      <c r="N544" s="42"/>
      <c r="P544" s="47">
        <v>307030</v>
      </c>
      <c r="R544" s="47" t="s">
        <v>699</v>
      </c>
    </row>
    <row r="545" spans="1:18">
      <c r="A545" s="2">
        <v>1</v>
      </c>
      <c r="B545" s="2">
        <v>544</v>
      </c>
      <c r="C545" s="37">
        <v>95271101</v>
      </c>
      <c r="D545" s="4"/>
      <c r="E545" s="43" t="s">
        <v>698</v>
      </c>
      <c r="F545" s="2">
        <v>20250731</v>
      </c>
      <c r="G545" s="2">
        <v>20250731</v>
      </c>
      <c r="H545" s="2">
        <v>20250731</v>
      </c>
      <c r="I545" s="40" t="s">
        <v>1113</v>
      </c>
      <c r="M545" s="40" t="s">
        <v>478</v>
      </c>
      <c r="N545" s="42"/>
      <c r="P545" s="47">
        <v>307030</v>
      </c>
      <c r="R545" s="47" t="s">
        <v>699</v>
      </c>
    </row>
    <row r="546" spans="1:18">
      <c r="A546" s="2">
        <v>1</v>
      </c>
      <c r="B546" s="2">
        <v>545</v>
      </c>
      <c r="C546" s="37">
        <v>95271101</v>
      </c>
      <c r="D546" s="4"/>
      <c r="E546" s="43" t="s">
        <v>698</v>
      </c>
      <c r="F546" s="2">
        <v>20250731</v>
      </c>
      <c r="G546" s="2">
        <v>20250731</v>
      </c>
      <c r="H546" s="2">
        <v>20250731</v>
      </c>
      <c r="I546" s="40" t="s">
        <v>1169</v>
      </c>
      <c r="M546" s="40" t="s">
        <v>163</v>
      </c>
      <c r="N546" s="42"/>
      <c r="P546" s="47">
        <v>307030</v>
      </c>
      <c r="R546" s="47" t="s">
        <v>699</v>
      </c>
    </row>
    <row r="547" spans="1:18">
      <c r="A547" s="2">
        <v>1</v>
      </c>
      <c r="B547" s="2">
        <v>546</v>
      </c>
      <c r="C547" s="37">
        <v>95271101</v>
      </c>
      <c r="D547" s="4"/>
      <c r="E547" s="43" t="s">
        <v>698</v>
      </c>
      <c r="F547" s="2">
        <v>20250731</v>
      </c>
      <c r="G547" s="2">
        <v>20250731</v>
      </c>
      <c r="H547" s="2">
        <v>20250731</v>
      </c>
      <c r="I547" s="40" t="s">
        <v>1170</v>
      </c>
      <c r="M547" s="40" t="s">
        <v>163</v>
      </c>
      <c r="N547" s="42"/>
      <c r="P547" s="47">
        <v>307030</v>
      </c>
      <c r="R547" s="47" t="s">
        <v>699</v>
      </c>
    </row>
    <row r="548" spans="1:18">
      <c r="A548" s="2">
        <v>1</v>
      </c>
      <c r="B548" s="2">
        <v>547</v>
      </c>
      <c r="C548" s="37">
        <v>95271101</v>
      </c>
      <c r="D548" s="4"/>
      <c r="E548" s="43" t="s">
        <v>698</v>
      </c>
      <c r="F548" s="2">
        <v>20250731</v>
      </c>
      <c r="G548" s="2">
        <v>20250731</v>
      </c>
      <c r="H548" s="2">
        <v>20250731</v>
      </c>
      <c r="I548" s="40" t="s">
        <v>780</v>
      </c>
      <c r="M548" s="40" t="s">
        <v>156</v>
      </c>
      <c r="N548" s="42"/>
      <c r="P548" s="47">
        <v>307030</v>
      </c>
      <c r="R548" s="47" t="s">
        <v>699</v>
      </c>
    </row>
    <row r="549" spans="1:18">
      <c r="A549" s="2">
        <v>1</v>
      </c>
      <c r="B549" s="2">
        <v>548</v>
      </c>
      <c r="C549" s="37">
        <v>95271101</v>
      </c>
      <c r="D549" s="4"/>
      <c r="E549" s="43" t="s">
        <v>698</v>
      </c>
      <c r="F549" s="2">
        <v>20250731</v>
      </c>
      <c r="G549" s="2">
        <v>20250731</v>
      </c>
      <c r="H549" s="2">
        <v>20250731</v>
      </c>
      <c r="I549" s="40" t="s">
        <v>782</v>
      </c>
      <c r="M549" s="40" t="s">
        <v>158</v>
      </c>
      <c r="N549" s="42"/>
      <c r="P549" s="47">
        <v>307030</v>
      </c>
      <c r="R549" s="47" t="s">
        <v>699</v>
      </c>
    </row>
    <row r="550" spans="1:18">
      <c r="A550" s="2">
        <v>1</v>
      </c>
      <c r="B550" s="2">
        <v>549</v>
      </c>
      <c r="C550" s="37">
        <v>95271101</v>
      </c>
      <c r="D550" s="4"/>
      <c r="E550" s="43" t="s">
        <v>698</v>
      </c>
      <c r="F550" s="2">
        <v>20250731</v>
      </c>
      <c r="G550" s="2">
        <v>20250731</v>
      </c>
      <c r="H550" s="2">
        <v>20250731</v>
      </c>
      <c r="I550" s="40" t="s">
        <v>791</v>
      </c>
      <c r="M550" s="40" t="s">
        <v>218</v>
      </c>
      <c r="N550" s="42"/>
      <c r="P550" s="47">
        <v>307030</v>
      </c>
      <c r="R550" s="47" t="s">
        <v>699</v>
      </c>
    </row>
    <row r="551" spans="1:18">
      <c r="A551" s="2">
        <v>1</v>
      </c>
      <c r="B551" s="2">
        <v>550</v>
      </c>
      <c r="C551" s="37">
        <v>95271101</v>
      </c>
      <c r="D551" s="4"/>
      <c r="E551" s="43" t="s">
        <v>698</v>
      </c>
      <c r="F551" s="2">
        <v>20250731</v>
      </c>
      <c r="G551" s="2">
        <v>20250731</v>
      </c>
      <c r="H551" s="2">
        <v>20250731</v>
      </c>
      <c r="I551" s="40" t="s">
        <v>708</v>
      </c>
      <c r="M551" s="40" t="s">
        <v>207</v>
      </c>
      <c r="N551" s="42"/>
      <c r="P551" s="47">
        <v>307030</v>
      </c>
      <c r="R551" s="47" t="s">
        <v>699</v>
      </c>
    </row>
    <row r="552" spans="1:18">
      <c r="A552" s="2">
        <v>1</v>
      </c>
      <c r="B552" s="2">
        <v>551</v>
      </c>
      <c r="C552" s="37">
        <v>95271101</v>
      </c>
      <c r="D552" s="4"/>
      <c r="E552" s="43" t="s">
        <v>698</v>
      </c>
      <c r="F552" s="2">
        <v>20250731</v>
      </c>
      <c r="G552" s="2">
        <v>20250731</v>
      </c>
      <c r="H552" s="2">
        <v>20250731</v>
      </c>
      <c r="I552" s="40" t="s">
        <v>1128</v>
      </c>
      <c r="M552" s="40" t="s">
        <v>215</v>
      </c>
      <c r="N552" s="42"/>
      <c r="P552" s="47">
        <v>307030</v>
      </c>
      <c r="R552" s="47" t="s">
        <v>699</v>
      </c>
    </row>
    <row r="553" spans="1:18">
      <c r="A553" s="2">
        <v>1</v>
      </c>
      <c r="B553" s="2">
        <v>552</v>
      </c>
      <c r="C553" s="37">
        <v>95271101</v>
      </c>
      <c r="D553" s="4"/>
      <c r="E553" s="43" t="s">
        <v>698</v>
      </c>
      <c r="F553" s="2">
        <v>20250731</v>
      </c>
      <c r="G553" s="2">
        <v>20250731</v>
      </c>
      <c r="H553" s="2">
        <v>20250731</v>
      </c>
      <c r="I553" s="40" t="s">
        <v>842</v>
      </c>
      <c r="M553" s="40" t="s">
        <v>479</v>
      </c>
      <c r="N553" s="42"/>
      <c r="P553" s="47">
        <v>307030</v>
      </c>
      <c r="R553" s="47" t="s">
        <v>699</v>
      </c>
    </row>
    <row r="554" spans="1:18">
      <c r="A554" s="2">
        <v>1</v>
      </c>
      <c r="B554" s="2">
        <v>553</v>
      </c>
      <c r="C554" s="37">
        <v>95271101</v>
      </c>
      <c r="D554" s="4"/>
      <c r="E554" s="43" t="s">
        <v>698</v>
      </c>
      <c r="F554" s="2">
        <v>20250731</v>
      </c>
      <c r="G554" s="2">
        <v>20250731</v>
      </c>
      <c r="H554" s="2">
        <v>20250731</v>
      </c>
      <c r="I554" s="40" t="s">
        <v>852</v>
      </c>
      <c r="M554" s="40" t="s">
        <v>480</v>
      </c>
      <c r="N554" s="42"/>
      <c r="P554" s="47">
        <v>307030</v>
      </c>
      <c r="R554" s="47" t="s">
        <v>699</v>
      </c>
    </row>
    <row r="555" spans="1:18">
      <c r="A555" s="2">
        <v>1</v>
      </c>
      <c r="B555" s="2">
        <v>554</v>
      </c>
      <c r="C555" s="37">
        <v>95271101</v>
      </c>
      <c r="D555" s="4"/>
      <c r="E555" s="43" t="s">
        <v>698</v>
      </c>
      <c r="F555" s="2">
        <v>20250731</v>
      </c>
      <c r="G555" s="2">
        <v>20250731</v>
      </c>
      <c r="H555" s="2">
        <v>20250731</v>
      </c>
      <c r="I555" s="40" t="s">
        <v>716</v>
      </c>
      <c r="M555" s="40" t="s">
        <v>481</v>
      </c>
      <c r="N555" s="42"/>
      <c r="P555" s="47">
        <v>307030</v>
      </c>
      <c r="R555" s="47" t="s">
        <v>699</v>
      </c>
    </row>
    <row r="556" spans="1:18">
      <c r="A556" s="2">
        <v>1</v>
      </c>
      <c r="B556" s="2">
        <v>555</v>
      </c>
      <c r="C556" s="37">
        <v>95271101</v>
      </c>
      <c r="D556" s="4"/>
      <c r="E556" s="43" t="s">
        <v>698</v>
      </c>
      <c r="F556" s="2">
        <v>20250731</v>
      </c>
      <c r="G556" s="2">
        <v>20250731</v>
      </c>
      <c r="H556" s="2">
        <v>20250731</v>
      </c>
      <c r="I556" s="40" t="s">
        <v>835</v>
      </c>
      <c r="M556" s="40" t="s">
        <v>482</v>
      </c>
      <c r="N556" s="42"/>
      <c r="P556" s="47">
        <v>307030</v>
      </c>
      <c r="R556" s="47" t="s">
        <v>699</v>
      </c>
    </row>
    <row r="557" spans="1:18">
      <c r="A557" s="2">
        <v>1</v>
      </c>
      <c r="B557" s="2">
        <v>556</v>
      </c>
      <c r="C557" s="37">
        <v>95271101</v>
      </c>
      <c r="D557" s="4"/>
      <c r="E557" s="43" t="s">
        <v>698</v>
      </c>
      <c r="F557" s="2">
        <v>20250731</v>
      </c>
      <c r="G557" s="2">
        <v>20250731</v>
      </c>
      <c r="H557" s="2">
        <v>20250731</v>
      </c>
      <c r="I557" s="40" t="s">
        <v>857</v>
      </c>
      <c r="M557" s="40" t="s">
        <v>483</v>
      </c>
      <c r="N557" s="42"/>
      <c r="P557" s="47">
        <v>307030</v>
      </c>
      <c r="R557" s="47" t="s">
        <v>699</v>
      </c>
    </row>
    <row r="558" spans="1:18">
      <c r="A558" s="2">
        <v>1</v>
      </c>
      <c r="B558" s="2">
        <v>557</v>
      </c>
      <c r="C558" s="37">
        <v>95271101</v>
      </c>
      <c r="D558" s="4"/>
      <c r="E558" s="43" t="s">
        <v>698</v>
      </c>
      <c r="F558" s="2">
        <v>20250731</v>
      </c>
      <c r="G558" s="2">
        <v>20250731</v>
      </c>
      <c r="H558" s="2">
        <v>20250731</v>
      </c>
      <c r="I558" s="40" t="s">
        <v>843</v>
      </c>
      <c r="M558" s="40" t="s">
        <v>484</v>
      </c>
      <c r="N558" s="42"/>
      <c r="P558" s="47">
        <v>307030</v>
      </c>
      <c r="R558" s="47" t="s">
        <v>699</v>
      </c>
    </row>
    <row r="559" spans="1:18">
      <c r="A559" s="2">
        <v>1</v>
      </c>
      <c r="B559" s="2">
        <v>558</v>
      </c>
      <c r="C559" s="37">
        <v>95271101</v>
      </c>
      <c r="D559" s="4"/>
      <c r="E559" s="43" t="s">
        <v>698</v>
      </c>
      <c r="F559" s="2">
        <v>20250731</v>
      </c>
      <c r="G559" s="2">
        <v>20250731</v>
      </c>
      <c r="H559" s="2">
        <v>20250731</v>
      </c>
      <c r="I559" s="40" t="s">
        <v>845</v>
      </c>
      <c r="M559" s="40" t="s">
        <v>485</v>
      </c>
      <c r="N559" s="42"/>
      <c r="P559" s="47">
        <v>307030</v>
      </c>
      <c r="R559" s="47" t="s">
        <v>699</v>
      </c>
    </row>
    <row r="560" spans="1:18">
      <c r="A560" s="2">
        <v>1</v>
      </c>
      <c r="B560" s="2">
        <v>559</v>
      </c>
      <c r="C560" s="37">
        <v>95271101</v>
      </c>
      <c r="D560" s="4"/>
      <c r="E560" s="43" t="s">
        <v>698</v>
      </c>
      <c r="F560" s="2">
        <v>20250731</v>
      </c>
      <c r="G560" s="2">
        <v>20250731</v>
      </c>
      <c r="H560" s="2">
        <v>20250731</v>
      </c>
      <c r="I560" s="40" t="s">
        <v>854</v>
      </c>
      <c r="M560" s="40" t="s">
        <v>486</v>
      </c>
      <c r="N560" s="42"/>
      <c r="P560" s="47">
        <v>307030</v>
      </c>
      <c r="R560" s="47" t="s">
        <v>699</v>
      </c>
    </row>
    <row r="561" spans="1:18">
      <c r="A561" s="2">
        <v>1</v>
      </c>
      <c r="B561" s="2">
        <v>560</v>
      </c>
      <c r="C561" s="37">
        <v>95271101</v>
      </c>
      <c r="D561" s="4"/>
      <c r="E561" s="43" t="s">
        <v>698</v>
      </c>
      <c r="F561" s="2">
        <v>20250731</v>
      </c>
      <c r="G561" s="2">
        <v>20250731</v>
      </c>
      <c r="H561" s="2">
        <v>20250731</v>
      </c>
      <c r="I561" s="40" t="s">
        <v>855</v>
      </c>
      <c r="M561" s="40" t="s">
        <v>470</v>
      </c>
      <c r="N561" s="42"/>
      <c r="P561" s="47">
        <v>307030</v>
      </c>
      <c r="R561" s="47" t="s">
        <v>699</v>
      </c>
    </row>
    <row r="562" spans="1:18">
      <c r="A562" s="2">
        <v>1</v>
      </c>
      <c r="B562" s="2">
        <v>561</v>
      </c>
      <c r="C562" s="37">
        <v>95271101</v>
      </c>
      <c r="D562" s="4"/>
      <c r="E562" s="43" t="s">
        <v>698</v>
      </c>
      <c r="F562" s="2">
        <v>20250731</v>
      </c>
      <c r="G562" s="2">
        <v>20250731</v>
      </c>
      <c r="H562" s="2">
        <v>20250731</v>
      </c>
      <c r="I562" s="40" t="s">
        <v>859</v>
      </c>
      <c r="M562" s="40" t="s">
        <v>487</v>
      </c>
      <c r="N562" s="42"/>
      <c r="P562" s="47">
        <v>307030</v>
      </c>
      <c r="R562" s="47" t="s">
        <v>699</v>
      </c>
    </row>
    <row r="563" spans="1:18">
      <c r="A563" s="2">
        <v>1</v>
      </c>
      <c r="B563" s="2">
        <v>562</v>
      </c>
      <c r="C563" s="37">
        <v>95271101</v>
      </c>
      <c r="D563" s="4"/>
      <c r="E563" s="43" t="s">
        <v>698</v>
      </c>
      <c r="F563" s="2">
        <v>20250731</v>
      </c>
      <c r="G563" s="2">
        <v>20250731</v>
      </c>
      <c r="H563" s="2">
        <v>20250731</v>
      </c>
      <c r="I563" s="40" t="s">
        <v>864</v>
      </c>
      <c r="M563" s="40" t="s">
        <v>488</v>
      </c>
      <c r="N563" s="42"/>
      <c r="P563" s="47">
        <v>307030</v>
      </c>
      <c r="R563" s="47" t="s">
        <v>699</v>
      </c>
    </row>
    <row r="564" spans="1:18">
      <c r="A564" s="2">
        <v>1</v>
      </c>
      <c r="B564" s="2">
        <v>563</v>
      </c>
      <c r="C564" s="37">
        <v>95271101</v>
      </c>
      <c r="D564" s="4"/>
      <c r="E564" s="43" t="s">
        <v>698</v>
      </c>
      <c r="F564" s="2">
        <v>20250731</v>
      </c>
      <c r="G564" s="2">
        <v>20250731</v>
      </c>
      <c r="H564" s="2">
        <v>20250731</v>
      </c>
      <c r="I564" s="40" t="s">
        <v>1139</v>
      </c>
      <c r="M564" s="40" t="s">
        <v>489</v>
      </c>
      <c r="N564" s="42"/>
      <c r="P564" s="47">
        <v>307030</v>
      </c>
      <c r="R564" s="47" t="s">
        <v>699</v>
      </c>
    </row>
    <row r="565" spans="1:18">
      <c r="A565" s="2">
        <v>1</v>
      </c>
      <c r="B565" s="2">
        <v>564</v>
      </c>
      <c r="C565" s="37">
        <v>95271101</v>
      </c>
      <c r="D565" s="4"/>
      <c r="E565" s="43" t="s">
        <v>698</v>
      </c>
      <c r="F565" s="2">
        <v>20250731</v>
      </c>
      <c r="G565" s="2">
        <v>20250731</v>
      </c>
      <c r="H565" s="2">
        <v>20250731</v>
      </c>
      <c r="I565" s="40" t="s">
        <v>841</v>
      </c>
      <c r="M565" s="40" t="s">
        <v>490</v>
      </c>
      <c r="N565" s="42"/>
      <c r="P565" s="47">
        <v>307030</v>
      </c>
      <c r="R565" s="47" t="s">
        <v>699</v>
      </c>
    </row>
    <row r="566" spans="1:18">
      <c r="A566" s="2">
        <v>1</v>
      </c>
      <c r="B566" s="2">
        <v>565</v>
      </c>
      <c r="C566" s="37">
        <v>95271101</v>
      </c>
      <c r="D566" s="4"/>
      <c r="E566" s="43" t="s">
        <v>698</v>
      </c>
      <c r="F566" s="2">
        <v>20250731</v>
      </c>
      <c r="G566" s="2">
        <v>20250731</v>
      </c>
      <c r="H566" s="2">
        <v>20250731</v>
      </c>
      <c r="I566" s="40" t="s">
        <v>850</v>
      </c>
      <c r="M566" s="40" t="s">
        <v>491</v>
      </c>
      <c r="N566" s="42"/>
      <c r="P566" s="47">
        <v>307030</v>
      </c>
      <c r="R566" s="47" t="s">
        <v>699</v>
      </c>
    </row>
    <row r="567" spans="1:18">
      <c r="A567" s="2">
        <v>1</v>
      </c>
      <c r="B567" s="2">
        <v>566</v>
      </c>
      <c r="C567" s="37">
        <v>95271101</v>
      </c>
      <c r="D567" s="4"/>
      <c r="E567" s="43" t="s">
        <v>698</v>
      </c>
      <c r="F567" s="2">
        <v>20250731</v>
      </c>
      <c r="G567" s="2">
        <v>20250731</v>
      </c>
      <c r="H567" s="2">
        <v>20250731</v>
      </c>
      <c r="I567" s="40" t="s">
        <v>861</v>
      </c>
      <c r="M567" s="40" t="s">
        <v>492</v>
      </c>
      <c r="N567" s="42"/>
      <c r="P567" s="47">
        <v>307030</v>
      </c>
      <c r="R567" s="47" t="s">
        <v>699</v>
      </c>
    </row>
    <row r="568" spans="1:18">
      <c r="A568" s="2">
        <v>1</v>
      </c>
      <c r="B568" s="2">
        <v>567</v>
      </c>
      <c r="C568" s="37">
        <v>95271101</v>
      </c>
      <c r="D568" s="4"/>
      <c r="E568" s="43" t="s">
        <v>698</v>
      </c>
      <c r="F568" s="2">
        <v>20250731</v>
      </c>
      <c r="G568" s="2">
        <v>20250731</v>
      </c>
      <c r="H568" s="2">
        <v>20250731</v>
      </c>
      <c r="I568" s="40" t="s">
        <v>1137</v>
      </c>
      <c r="M568" s="40" t="s">
        <v>242</v>
      </c>
      <c r="N568" s="42"/>
      <c r="P568" s="47">
        <v>307030</v>
      </c>
      <c r="R568" s="47" t="s">
        <v>699</v>
      </c>
    </row>
    <row r="569" spans="1:18">
      <c r="A569" s="2">
        <v>1</v>
      </c>
      <c r="B569" s="2">
        <v>568</v>
      </c>
      <c r="C569" s="37">
        <v>95271101</v>
      </c>
      <c r="D569" s="4"/>
      <c r="E569" s="43" t="s">
        <v>698</v>
      </c>
      <c r="F569" s="2">
        <v>20250731</v>
      </c>
      <c r="G569" s="2">
        <v>20250731</v>
      </c>
      <c r="H569" s="2">
        <v>20250731</v>
      </c>
      <c r="I569" s="40" t="s">
        <v>1142</v>
      </c>
      <c r="M569" s="40" t="s">
        <v>163</v>
      </c>
      <c r="N569" s="42"/>
      <c r="P569" s="47">
        <v>307030</v>
      </c>
      <c r="R569" s="47" t="s">
        <v>699</v>
      </c>
    </row>
    <row r="570" spans="1:18">
      <c r="A570" s="2">
        <v>1</v>
      </c>
      <c r="B570" s="2">
        <v>569</v>
      </c>
      <c r="C570" s="37">
        <v>95271101</v>
      </c>
      <c r="D570" s="4"/>
      <c r="E570" s="43" t="s">
        <v>698</v>
      </c>
      <c r="F570" s="2">
        <v>20250731</v>
      </c>
      <c r="G570" s="2">
        <v>20250731</v>
      </c>
      <c r="H570" s="2">
        <v>20250731</v>
      </c>
      <c r="I570" s="40" t="s">
        <v>826</v>
      </c>
      <c r="M570" s="40" t="s">
        <v>460</v>
      </c>
      <c r="N570" s="42"/>
      <c r="P570" s="47">
        <v>307030</v>
      </c>
      <c r="R570" s="47" t="s">
        <v>699</v>
      </c>
    </row>
    <row r="571" spans="1:18">
      <c r="A571" s="2">
        <v>1</v>
      </c>
      <c r="B571" s="2">
        <v>570</v>
      </c>
      <c r="C571" s="37">
        <v>95271101</v>
      </c>
      <c r="D571" s="4"/>
      <c r="E571" s="43" t="s">
        <v>698</v>
      </c>
      <c r="F571" s="2">
        <v>20250731</v>
      </c>
      <c r="G571" s="2">
        <v>20250731</v>
      </c>
      <c r="H571" s="2">
        <v>20250731</v>
      </c>
      <c r="I571" s="40" t="s">
        <v>717</v>
      </c>
      <c r="M571" s="40" t="s">
        <v>493</v>
      </c>
      <c r="N571" s="42"/>
      <c r="P571" s="47">
        <v>307030</v>
      </c>
      <c r="R571" s="47" t="s">
        <v>699</v>
      </c>
    </row>
    <row r="572" spans="1:18">
      <c r="A572" s="2">
        <v>1</v>
      </c>
      <c r="B572" s="2">
        <v>571</v>
      </c>
      <c r="C572" s="37">
        <v>95271101</v>
      </c>
      <c r="D572" s="4"/>
      <c r="E572" s="43" t="s">
        <v>698</v>
      </c>
      <c r="F572" s="2">
        <v>20250731</v>
      </c>
      <c r="G572" s="2">
        <v>20250731</v>
      </c>
      <c r="H572" s="2">
        <v>20250731</v>
      </c>
      <c r="I572" s="40" t="s">
        <v>839</v>
      </c>
      <c r="M572" s="40" t="s">
        <v>494</v>
      </c>
      <c r="N572" s="42"/>
      <c r="P572" s="47">
        <v>307030</v>
      </c>
      <c r="R572" s="47" t="s">
        <v>699</v>
      </c>
    </row>
    <row r="573" spans="1:18">
      <c r="A573" s="2">
        <v>1</v>
      </c>
      <c r="B573" s="2">
        <v>572</v>
      </c>
      <c r="C573" s="37">
        <v>95271101</v>
      </c>
      <c r="D573" s="4"/>
      <c r="E573" s="43" t="s">
        <v>698</v>
      </c>
      <c r="F573" s="2">
        <v>20250731</v>
      </c>
      <c r="G573" s="2">
        <v>20250731</v>
      </c>
      <c r="H573" s="2">
        <v>20250731</v>
      </c>
      <c r="I573" s="40" t="s">
        <v>719</v>
      </c>
      <c r="M573" s="40" t="s">
        <v>495</v>
      </c>
      <c r="N573" s="42"/>
      <c r="P573" s="47">
        <v>307030</v>
      </c>
      <c r="R573" s="47" t="s">
        <v>699</v>
      </c>
    </row>
    <row r="574" spans="1:18">
      <c r="A574" s="2">
        <v>1</v>
      </c>
      <c r="B574" s="2">
        <v>573</v>
      </c>
      <c r="C574" s="37">
        <v>95271101</v>
      </c>
      <c r="D574" s="4"/>
      <c r="E574" s="43" t="s">
        <v>698</v>
      </c>
      <c r="F574" s="2">
        <v>20250731</v>
      </c>
      <c r="G574" s="2">
        <v>20250731</v>
      </c>
      <c r="H574" s="2">
        <v>20250731</v>
      </c>
      <c r="I574" s="40" t="s">
        <v>844</v>
      </c>
      <c r="M574" s="40" t="s">
        <v>492</v>
      </c>
      <c r="N574" s="42"/>
      <c r="P574" s="47">
        <v>307030</v>
      </c>
      <c r="R574" s="47" t="s">
        <v>699</v>
      </c>
    </row>
    <row r="575" spans="1:18">
      <c r="A575" s="2">
        <v>1</v>
      </c>
      <c r="B575" s="2">
        <v>574</v>
      </c>
      <c r="C575" s="37">
        <v>95271101</v>
      </c>
      <c r="D575" s="4"/>
      <c r="E575" s="43" t="s">
        <v>698</v>
      </c>
      <c r="F575" s="2">
        <v>20250731</v>
      </c>
      <c r="G575" s="2">
        <v>20250731</v>
      </c>
      <c r="H575" s="2">
        <v>20250731</v>
      </c>
      <c r="I575" s="40" t="s">
        <v>849</v>
      </c>
      <c r="M575" s="40" t="s">
        <v>496</v>
      </c>
      <c r="N575" s="42"/>
      <c r="P575" s="47">
        <v>307030</v>
      </c>
      <c r="R575" s="47" t="s">
        <v>699</v>
      </c>
    </row>
    <row r="576" spans="1:18">
      <c r="A576" s="2">
        <v>1</v>
      </c>
      <c r="B576" s="2">
        <v>575</v>
      </c>
      <c r="C576" s="37">
        <v>95271101</v>
      </c>
      <c r="D576" s="4"/>
      <c r="E576" s="43" t="s">
        <v>698</v>
      </c>
      <c r="F576" s="2">
        <v>20250731</v>
      </c>
      <c r="G576" s="2">
        <v>20250731</v>
      </c>
      <c r="H576" s="2">
        <v>20250731</v>
      </c>
      <c r="I576" s="40" t="s">
        <v>1138</v>
      </c>
      <c r="M576" s="40" t="s">
        <v>497</v>
      </c>
      <c r="N576" s="42"/>
      <c r="P576" s="47">
        <v>307030</v>
      </c>
      <c r="R576" s="47" t="s">
        <v>699</v>
      </c>
    </row>
    <row r="577" spans="1:18">
      <c r="A577" s="2">
        <v>1</v>
      </c>
      <c r="B577" s="2">
        <v>576</v>
      </c>
      <c r="C577" s="37">
        <v>95271101</v>
      </c>
      <c r="D577" s="4"/>
      <c r="E577" s="43" t="s">
        <v>698</v>
      </c>
      <c r="F577" s="2">
        <v>20250731</v>
      </c>
      <c r="G577" s="2">
        <v>20250731</v>
      </c>
      <c r="H577" s="2">
        <v>20250731</v>
      </c>
      <c r="I577" s="40" t="s">
        <v>837</v>
      </c>
      <c r="M577" s="40" t="s">
        <v>498</v>
      </c>
      <c r="N577" s="42"/>
      <c r="P577" s="47">
        <v>307030</v>
      </c>
      <c r="R577" s="47" t="s">
        <v>699</v>
      </c>
    </row>
    <row r="578" spans="1:18">
      <c r="A578" s="2">
        <v>1</v>
      </c>
      <c r="B578" s="2">
        <v>577</v>
      </c>
      <c r="C578" s="37">
        <v>95271101</v>
      </c>
      <c r="D578" s="4"/>
      <c r="E578" s="43" t="s">
        <v>698</v>
      </c>
      <c r="F578" s="2">
        <v>20250731</v>
      </c>
      <c r="G578" s="2">
        <v>20250731</v>
      </c>
      <c r="H578" s="2">
        <v>20250731</v>
      </c>
      <c r="I578" s="40" t="s">
        <v>847</v>
      </c>
      <c r="M578" s="40" t="s">
        <v>499</v>
      </c>
      <c r="N578" s="42"/>
      <c r="P578" s="47">
        <v>307030</v>
      </c>
      <c r="R578" s="47" t="s">
        <v>699</v>
      </c>
    </row>
    <row r="579" spans="1:18">
      <c r="A579" s="2">
        <v>1</v>
      </c>
      <c r="B579" s="2">
        <v>578</v>
      </c>
      <c r="C579" s="37">
        <v>95271101</v>
      </c>
      <c r="D579" s="4"/>
      <c r="E579" s="43" t="s">
        <v>698</v>
      </c>
      <c r="F579" s="2">
        <v>20250731</v>
      </c>
      <c r="G579" s="2">
        <v>20250731</v>
      </c>
      <c r="H579" s="2">
        <v>20250731</v>
      </c>
      <c r="I579" s="40" t="s">
        <v>718</v>
      </c>
      <c r="M579" s="40" t="s">
        <v>500</v>
      </c>
      <c r="N579" s="42"/>
      <c r="P579" s="47">
        <v>307030</v>
      </c>
      <c r="R579" s="47" t="s">
        <v>699</v>
      </c>
    </row>
    <row r="580" spans="1:18">
      <c r="A580" s="2">
        <v>1</v>
      </c>
      <c r="B580" s="2">
        <v>579</v>
      </c>
      <c r="C580" s="37">
        <v>95271101</v>
      </c>
      <c r="D580" s="4"/>
      <c r="E580" s="43" t="s">
        <v>698</v>
      </c>
      <c r="F580" s="2">
        <v>20250731</v>
      </c>
      <c r="G580" s="2">
        <v>20250731</v>
      </c>
      <c r="H580" s="2">
        <v>20250731</v>
      </c>
      <c r="I580" s="40" t="s">
        <v>722</v>
      </c>
      <c r="M580" s="40" t="s">
        <v>501</v>
      </c>
      <c r="N580" s="42"/>
      <c r="P580" s="47">
        <v>307030</v>
      </c>
      <c r="R580" s="47" t="s">
        <v>699</v>
      </c>
    </row>
    <row r="581" spans="1:18">
      <c r="A581" s="2">
        <v>1</v>
      </c>
      <c r="B581" s="2">
        <v>580</v>
      </c>
      <c r="C581" s="37">
        <v>95271101</v>
      </c>
      <c r="D581" s="4"/>
      <c r="E581" s="43" t="s">
        <v>698</v>
      </c>
      <c r="F581" s="2">
        <v>20250731</v>
      </c>
      <c r="G581" s="2">
        <v>20250731</v>
      </c>
      <c r="H581" s="2">
        <v>20250731</v>
      </c>
      <c r="I581" s="40" t="s">
        <v>1132</v>
      </c>
      <c r="M581" s="40" t="s">
        <v>502</v>
      </c>
      <c r="N581" s="42"/>
      <c r="P581" s="47">
        <v>307030</v>
      </c>
      <c r="R581" s="47" t="s">
        <v>699</v>
      </c>
    </row>
    <row r="582" spans="1:18">
      <c r="A582" s="2">
        <v>1</v>
      </c>
      <c r="B582" s="2">
        <v>581</v>
      </c>
      <c r="C582" s="37">
        <v>95271101</v>
      </c>
      <c r="D582" s="4"/>
      <c r="E582" s="43" t="s">
        <v>698</v>
      </c>
      <c r="F582" s="2">
        <v>20250731</v>
      </c>
      <c r="G582" s="2">
        <v>20250731</v>
      </c>
      <c r="H582" s="2">
        <v>20250731</v>
      </c>
      <c r="I582" s="40" t="s">
        <v>1135</v>
      </c>
      <c r="M582" s="40" t="s">
        <v>503</v>
      </c>
      <c r="N582" s="42"/>
      <c r="P582" s="47">
        <v>307030</v>
      </c>
      <c r="R582" s="47" t="s">
        <v>699</v>
      </c>
    </row>
    <row r="583" spans="1:18">
      <c r="A583" s="2">
        <v>1</v>
      </c>
      <c r="B583" s="2">
        <v>582</v>
      </c>
      <c r="C583" s="37">
        <v>95271101</v>
      </c>
      <c r="D583" s="4"/>
      <c r="E583" s="43" t="s">
        <v>698</v>
      </c>
      <c r="F583" s="2">
        <v>20250731</v>
      </c>
      <c r="G583" s="2">
        <v>20250731</v>
      </c>
      <c r="H583" s="2">
        <v>20250731</v>
      </c>
      <c r="I583" s="40" t="s">
        <v>851</v>
      </c>
      <c r="M583" s="40" t="s">
        <v>504</v>
      </c>
      <c r="N583" s="42"/>
      <c r="P583" s="47">
        <v>307030</v>
      </c>
      <c r="R583" s="47" t="s">
        <v>699</v>
      </c>
    </row>
    <row r="584" spans="1:18">
      <c r="A584" s="2">
        <v>1</v>
      </c>
      <c r="B584" s="2">
        <v>583</v>
      </c>
      <c r="C584" s="37">
        <v>95271101</v>
      </c>
      <c r="D584" s="4"/>
      <c r="E584" s="43" t="s">
        <v>698</v>
      </c>
      <c r="F584" s="2">
        <v>20250731</v>
      </c>
      <c r="G584" s="2">
        <v>20250731</v>
      </c>
      <c r="H584" s="2">
        <v>20250731</v>
      </c>
      <c r="I584" s="40" t="s">
        <v>823</v>
      </c>
      <c r="M584" s="40" t="s">
        <v>505</v>
      </c>
      <c r="N584" s="42"/>
      <c r="P584" s="47">
        <v>307030</v>
      </c>
      <c r="R584" s="47" t="s">
        <v>699</v>
      </c>
    </row>
    <row r="585" spans="1:18">
      <c r="A585" s="2">
        <v>1</v>
      </c>
      <c r="B585" s="2">
        <v>584</v>
      </c>
      <c r="C585" s="37">
        <v>95271101</v>
      </c>
      <c r="D585" s="4"/>
      <c r="E585" s="43" t="s">
        <v>698</v>
      </c>
      <c r="F585" s="2">
        <v>20250731</v>
      </c>
      <c r="G585" s="2">
        <v>20250731</v>
      </c>
      <c r="H585" s="2">
        <v>20250731</v>
      </c>
      <c r="I585" s="40" t="s">
        <v>848</v>
      </c>
      <c r="M585" s="40" t="s">
        <v>506</v>
      </c>
      <c r="N585" s="42"/>
      <c r="P585" s="47">
        <v>307030</v>
      </c>
      <c r="R585" s="47" t="s">
        <v>699</v>
      </c>
    </row>
    <row r="586" spans="1:18">
      <c r="A586" s="2">
        <v>1</v>
      </c>
      <c r="B586" s="2">
        <v>585</v>
      </c>
      <c r="C586" s="37">
        <v>95271101</v>
      </c>
      <c r="D586" s="4"/>
      <c r="E586" s="43" t="s">
        <v>698</v>
      </c>
      <c r="F586" s="2">
        <v>20250731</v>
      </c>
      <c r="G586" s="2">
        <v>20250731</v>
      </c>
      <c r="H586" s="2">
        <v>20250731</v>
      </c>
      <c r="I586" s="40" t="s">
        <v>725</v>
      </c>
      <c r="M586" s="40" t="s">
        <v>507</v>
      </c>
      <c r="N586" s="42"/>
      <c r="P586" s="47">
        <v>307030</v>
      </c>
      <c r="R586" s="47" t="s">
        <v>699</v>
      </c>
    </row>
    <row r="587" spans="1:18">
      <c r="A587" s="2">
        <v>1</v>
      </c>
      <c r="B587" s="2">
        <v>586</v>
      </c>
      <c r="C587" s="37">
        <v>95271101</v>
      </c>
      <c r="D587" s="4"/>
      <c r="E587" s="43" t="s">
        <v>698</v>
      </c>
      <c r="F587" s="2">
        <v>20250731</v>
      </c>
      <c r="G587" s="2">
        <v>20250731</v>
      </c>
      <c r="H587" s="2">
        <v>20250731</v>
      </c>
      <c r="I587" s="40" t="s">
        <v>838</v>
      </c>
      <c r="M587" s="40" t="s">
        <v>508</v>
      </c>
      <c r="N587" s="42"/>
      <c r="P587" s="47">
        <v>307030</v>
      </c>
      <c r="R587" s="47" t="s">
        <v>699</v>
      </c>
    </row>
    <row r="588" spans="1:18">
      <c r="A588" s="2">
        <v>1</v>
      </c>
      <c r="B588" s="2">
        <v>587</v>
      </c>
      <c r="C588" s="37">
        <v>95271101</v>
      </c>
      <c r="D588" s="4"/>
      <c r="E588" s="43" t="s">
        <v>698</v>
      </c>
      <c r="F588" s="2">
        <v>20250731</v>
      </c>
      <c r="G588" s="2">
        <v>20250731</v>
      </c>
      <c r="H588" s="2">
        <v>20250731</v>
      </c>
      <c r="I588" s="40" t="s">
        <v>856</v>
      </c>
      <c r="M588" s="40" t="s">
        <v>509</v>
      </c>
      <c r="N588" s="42"/>
      <c r="P588" s="47">
        <v>307030</v>
      </c>
      <c r="R588" s="47" t="s">
        <v>699</v>
      </c>
    </row>
    <row r="589" spans="1:18">
      <c r="A589" s="2">
        <v>1</v>
      </c>
      <c r="B589" s="2">
        <v>588</v>
      </c>
      <c r="C589" s="37">
        <v>95271101</v>
      </c>
      <c r="D589" s="4"/>
      <c r="E589" s="43" t="s">
        <v>698</v>
      </c>
      <c r="F589" s="2">
        <v>20250731</v>
      </c>
      <c r="G589" s="2">
        <v>20250731</v>
      </c>
      <c r="H589" s="2">
        <v>20250731</v>
      </c>
      <c r="I589" s="40" t="s">
        <v>824</v>
      </c>
      <c r="M589" s="40" t="s">
        <v>510</v>
      </c>
      <c r="N589" s="42"/>
      <c r="P589" s="47">
        <v>307030</v>
      </c>
      <c r="R589" s="47" t="s">
        <v>699</v>
      </c>
    </row>
    <row r="590" spans="1:18">
      <c r="A590" s="2">
        <v>1</v>
      </c>
      <c r="B590" s="2">
        <v>589</v>
      </c>
      <c r="C590" s="37">
        <v>95271101</v>
      </c>
      <c r="D590" s="4"/>
      <c r="E590" s="43" t="s">
        <v>698</v>
      </c>
      <c r="F590" s="2">
        <v>20250731</v>
      </c>
      <c r="G590" s="2">
        <v>20250731</v>
      </c>
      <c r="H590" s="2">
        <v>20250731</v>
      </c>
      <c r="I590" s="40" t="s">
        <v>827</v>
      </c>
      <c r="M590" s="40" t="s">
        <v>511</v>
      </c>
      <c r="N590" s="42"/>
      <c r="P590" s="47">
        <v>307030</v>
      </c>
      <c r="R590" s="47" t="s">
        <v>699</v>
      </c>
    </row>
    <row r="591" spans="1:18">
      <c r="A591" s="2">
        <v>1</v>
      </c>
      <c r="B591" s="2">
        <v>590</v>
      </c>
      <c r="C591" s="37">
        <v>95271101</v>
      </c>
      <c r="D591" s="4"/>
      <c r="E591" s="43" t="s">
        <v>698</v>
      </c>
      <c r="F591" s="2">
        <v>20250731</v>
      </c>
      <c r="G591" s="2">
        <v>20250731</v>
      </c>
      <c r="H591" s="2">
        <v>20250731</v>
      </c>
      <c r="I591" s="40" t="s">
        <v>829</v>
      </c>
      <c r="M591" s="40" t="s">
        <v>512</v>
      </c>
      <c r="N591" s="42"/>
      <c r="P591" s="47">
        <v>307030</v>
      </c>
      <c r="R591" s="47" t="s">
        <v>699</v>
      </c>
    </row>
    <row r="592" spans="1:18">
      <c r="A592" s="2">
        <v>1</v>
      </c>
      <c r="B592" s="2">
        <v>591</v>
      </c>
      <c r="C592" s="37">
        <v>95271101</v>
      </c>
      <c r="D592" s="4"/>
      <c r="E592" s="43" t="s">
        <v>698</v>
      </c>
      <c r="F592" s="2">
        <v>20250731</v>
      </c>
      <c r="G592" s="2">
        <v>20250731</v>
      </c>
      <c r="H592" s="2">
        <v>20250731</v>
      </c>
      <c r="I592" s="40" t="s">
        <v>830</v>
      </c>
      <c r="M592" s="40" t="s">
        <v>513</v>
      </c>
      <c r="N592" s="42"/>
      <c r="P592" s="47">
        <v>307030</v>
      </c>
      <c r="R592" s="47" t="s">
        <v>699</v>
      </c>
    </row>
    <row r="593" spans="1:18">
      <c r="A593" s="2">
        <v>1</v>
      </c>
      <c r="B593" s="2">
        <v>592</v>
      </c>
      <c r="C593" s="37">
        <v>95271101</v>
      </c>
      <c r="D593" s="4"/>
      <c r="E593" s="43" t="s">
        <v>698</v>
      </c>
      <c r="F593" s="2">
        <v>20250731</v>
      </c>
      <c r="G593" s="2">
        <v>20250731</v>
      </c>
      <c r="H593" s="2">
        <v>20250731</v>
      </c>
      <c r="I593" s="40" t="s">
        <v>831</v>
      </c>
      <c r="M593" s="40" t="s">
        <v>514</v>
      </c>
      <c r="N593" s="42"/>
      <c r="P593" s="47">
        <v>307030</v>
      </c>
      <c r="R593" s="47" t="s">
        <v>699</v>
      </c>
    </row>
    <row r="594" spans="1:18">
      <c r="A594" s="2">
        <v>1</v>
      </c>
      <c r="B594" s="2">
        <v>593</v>
      </c>
      <c r="C594" s="37">
        <v>95271101</v>
      </c>
      <c r="D594" s="4"/>
      <c r="E594" s="43" t="s">
        <v>698</v>
      </c>
      <c r="F594" s="2">
        <v>20250731</v>
      </c>
      <c r="G594" s="2">
        <v>20250731</v>
      </c>
      <c r="H594" s="2">
        <v>20250731</v>
      </c>
      <c r="I594" s="40" t="s">
        <v>832</v>
      </c>
      <c r="M594" s="40" t="s">
        <v>515</v>
      </c>
      <c r="N594" s="42"/>
      <c r="P594" s="47">
        <v>307030</v>
      </c>
      <c r="R594" s="47" t="s">
        <v>699</v>
      </c>
    </row>
    <row r="595" spans="1:18">
      <c r="A595" s="2">
        <v>1</v>
      </c>
      <c r="B595" s="2">
        <v>594</v>
      </c>
      <c r="C595" s="37">
        <v>95271101</v>
      </c>
      <c r="D595" s="4"/>
      <c r="E595" s="43" t="s">
        <v>698</v>
      </c>
      <c r="F595" s="2">
        <v>20250731</v>
      </c>
      <c r="G595" s="2">
        <v>20250731</v>
      </c>
      <c r="H595" s="2">
        <v>20250731</v>
      </c>
      <c r="I595" s="40" t="s">
        <v>836</v>
      </c>
      <c r="M595" s="40" t="s">
        <v>211</v>
      </c>
      <c r="N595" s="42"/>
      <c r="P595" s="47">
        <v>307030</v>
      </c>
      <c r="R595" s="47" t="s">
        <v>699</v>
      </c>
    </row>
    <row r="596" spans="1:18">
      <c r="A596" s="2">
        <v>1</v>
      </c>
      <c r="B596" s="2">
        <v>595</v>
      </c>
      <c r="C596" s="37">
        <v>95271101</v>
      </c>
      <c r="D596" s="4"/>
      <c r="E596" s="43" t="s">
        <v>698</v>
      </c>
      <c r="F596" s="2">
        <v>20250731</v>
      </c>
      <c r="G596" s="2">
        <v>20250731</v>
      </c>
      <c r="H596" s="2">
        <v>20250731</v>
      </c>
      <c r="I596" s="40" t="s">
        <v>721</v>
      </c>
      <c r="M596" s="40" t="s">
        <v>516</v>
      </c>
      <c r="N596" s="42"/>
      <c r="P596" s="47">
        <v>307030</v>
      </c>
      <c r="R596" s="47" t="s">
        <v>699</v>
      </c>
    </row>
    <row r="597" spans="1:18">
      <c r="A597" s="2">
        <v>1</v>
      </c>
      <c r="B597" s="2">
        <v>596</v>
      </c>
      <c r="C597" s="37">
        <v>95271101</v>
      </c>
      <c r="D597" s="4"/>
      <c r="E597" s="43" t="s">
        <v>698</v>
      </c>
      <c r="F597" s="2">
        <v>20250731</v>
      </c>
      <c r="G597" s="2">
        <v>20250731</v>
      </c>
      <c r="H597" s="2">
        <v>20250731</v>
      </c>
      <c r="I597" s="40" t="s">
        <v>853</v>
      </c>
      <c r="M597" s="40" t="s">
        <v>517</v>
      </c>
      <c r="N597" s="42"/>
      <c r="P597" s="47">
        <v>307030</v>
      </c>
      <c r="R597" s="47" t="s">
        <v>699</v>
      </c>
    </row>
    <row r="598" spans="1:18">
      <c r="A598" s="2">
        <v>1</v>
      </c>
      <c r="B598" s="2">
        <v>597</v>
      </c>
      <c r="C598" s="37">
        <v>95271101</v>
      </c>
      <c r="D598" s="4"/>
      <c r="E598" s="43" t="s">
        <v>698</v>
      </c>
      <c r="F598" s="2">
        <v>20250731</v>
      </c>
      <c r="G598" s="2">
        <v>20250731</v>
      </c>
      <c r="H598" s="2">
        <v>20250731</v>
      </c>
      <c r="I598" s="40" t="s">
        <v>858</v>
      </c>
      <c r="M598" s="40" t="s">
        <v>160</v>
      </c>
      <c r="N598" s="42"/>
      <c r="P598" s="47">
        <v>307030</v>
      </c>
      <c r="R598" s="47" t="s">
        <v>699</v>
      </c>
    </row>
    <row r="599" spans="1:18">
      <c r="A599" s="2">
        <v>1</v>
      </c>
      <c r="B599" s="2">
        <v>598</v>
      </c>
      <c r="C599" s="37">
        <v>95271101</v>
      </c>
      <c r="D599" s="4"/>
      <c r="E599" s="43" t="s">
        <v>698</v>
      </c>
      <c r="F599" s="2">
        <v>20250731</v>
      </c>
      <c r="G599" s="2">
        <v>20250731</v>
      </c>
      <c r="H599" s="2">
        <v>20250731</v>
      </c>
      <c r="I599" s="40" t="s">
        <v>1131</v>
      </c>
      <c r="M599" s="40" t="s">
        <v>163</v>
      </c>
      <c r="N599" s="42"/>
      <c r="P599" s="47">
        <v>307030</v>
      </c>
      <c r="R599" s="47" t="s">
        <v>699</v>
      </c>
    </row>
    <row r="600" spans="1:18">
      <c r="A600" s="2">
        <v>1</v>
      </c>
      <c r="B600" s="2">
        <v>599</v>
      </c>
      <c r="C600" s="37">
        <v>95271101</v>
      </c>
      <c r="D600" s="4"/>
      <c r="E600" s="43" t="s">
        <v>698</v>
      </c>
      <c r="F600" s="2">
        <v>20250731</v>
      </c>
      <c r="G600" s="2">
        <v>20250731</v>
      </c>
      <c r="H600" s="2">
        <v>20250731</v>
      </c>
      <c r="I600" s="40" t="s">
        <v>860</v>
      </c>
      <c r="M600" s="40" t="s">
        <v>518</v>
      </c>
      <c r="N600" s="42"/>
      <c r="P600" s="47">
        <v>307030</v>
      </c>
      <c r="R600" s="47" t="s">
        <v>699</v>
      </c>
    </row>
    <row r="601" spans="1:18">
      <c r="A601" s="2">
        <v>1</v>
      </c>
      <c r="B601" s="2">
        <v>600</v>
      </c>
      <c r="C601" s="37">
        <v>95271101</v>
      </c>
      <c r="D601" s="4"/>
      <c r="E601" s="43" t="s">
        <v>698</v>
      </c>
      <c r="F601" s="2">
        <v>20250731</v>
      </c>
      <c r="G601" s="2">
        <v>20250731</v>
      </c>
      <c r="H601" s="2">
        <v>20250731</v>
      </c>
      <c r="I601" s="40" t="s">
        <v>723</v>
      </c>
      <c r="M601" s="40" t="s">
        <v>519</v>
      </c>
      <c r="N601" s="42"/>
      <c r="P601" s="47">
        <v>307030</v>
      </c>
      <c r="R601" s="47" t="s">
        <v>699</v>
      </c>
    </row>
    <row r="602" spans="1:18">
      <c r="A602" s="2">
        <v>1</v>
      </c>
      <c r="B602" s="2">
        <v>601</v>
      </c>
      <c r="C602" s="37">
        <v>95271101</v>
      </c>
      <c r="D602" s="4"/>
      <c r="E602" s="43" t="s">
        <v>698</v>
      </c>
      <c r="F602" s="2">
        <v>20250731</v>
      </c>
      <c r="G602" s="2">
        <v>20250731</v>
      </c>
      <c r="H602" s="2">
        <v>20250731</v>
      </c>
      <c r="I602" s="40" t="s">
        <v>862</v>
      </c>
      <c r="M602" s="40" t="s">
        <v>520</v>
      </c>
      <c r="N602" s="42"/>
      <c r="P602" s="47">
        <v>307030</v>
      </c>
      <c r="R602" s="47" t="s">
        <v>699</v>
      </c>
    </row>
    <row r="603" spans="1:18">
      <c r="A603" s="2">
        <v>1</v>
      </c>
      <c r="B603" s="2">
        <v>602</v>
      </c>
      <c r="C603" s="37">
        <v>95271101</v>
      </c>
      <c r="D603" s="4"/>
      <c r="E603" s="43" t="s">
        <v>698</v>
      </c>
      <c r="F603" s="2">
        <v>20250731</v>
      </c>
      <c r="G603" s="2">
        <v>20250731</v>
      </c>
      <c r="H603" s="2">
        <v>20250731</v>
      </c>
      <c r="I603" s="40" t="s">
        <v>863</v>
      </c>
      <c r="M603" s="40" t="s">
        <v>521</v>
      </c>
      <c r="N603" s="42"/>
      <c r="P603" s="47">
        <v>307030</v>
      </c>
      <c r="R603" s="47" t="s">
        <v>699</v>
      </c>
    </row>
    <row r="604" spans="1:18">
      <c r="A604" s="2">
        <v>1</v>
      </c>
      <c r="B604" s="2">
        <v>603</v>
      </c>
      <c r="C604" s="37">
        <v>95271101</v>
      </c>
      <c r="D604" s="4"/>
      <c r="E604" s="43" t="s">
        <v>698</v>
      </c>
      <c r="F604" s="2">
        <v>20250731</v>
      </c>
      <c r="G604" s="2">
        <v>20250731</v>
      </c>
      <c r="H604" s="2">
        <v>20250731</v>
      </c>
      <c r="I604" s="40" t="s">
        <v>1133</v>
      </c>
      <c r="M604" s="40" t="s">
        <v>163</v>
      </c>
      <c r="N604" s="42"/>
      <c r="P604" s="47">
        <v>307030</v>
      </c>
      <c r="R604" s="47" t="s">
        <v>699</v>
      </c>
    </row>
    <row r="605" spans="1:18">
      <c r="A605" s="2">
        <v>1</v>
      </c>
      <c r="B605" s="2">
        <v>604</v>
      </c>
      <c r="C605" s="37">
        <v>95271101</v>
      </c>
      <c r="D605" s="4"/>
      <c r="E605" s="43" t="s">
        <v>698</v>
      </c>
      <c r="F605" s="2">
        <v>20250731</v>
      </c>
      <c r="G605" s="2">
        <v>20250731</v>
      </c>
      <c r="H605" s="2">
        <v>20250731</v>
      </c>
      <c r="I605" s="40" t="s">
        <v>724</v>
      </c>
      <c r="M605" s="40" t="s">
        <v>163</v>
      </c>
      <c r="N605" s="42"/>
      <c r="P605" s="47">
        <v>307030</v>
      </c>
      <c r="R605" s="47" t="s">
        <v>699</v>
      </c>
    </row>
    <row r="606" spans="1:18">
      <c r="A606" s="2">
        <v>1</v>
      </c>
      <c r="B606" s="2">
        <v>605</v>
      </c>
      <c r="C606" s="37">
        <v>95271101</v>
      </c>
      <c r="D606" s="4"/>
      <c r="E606" s="43" t="s">
        <v>698</v>
      </c>
      <c r="F606" s="2">
        <v>20250731</v>
      </c>
      <c r="G606" s="2">
        <v>20250731</v>
      </c>
      <c r="H606" s="2">
        <v>20250731</v>
      </c>
      <c r="I606" s="40" t="s">
        <v>1140</v>
      </c>
      <c r="M606" s="40" t="s">
        <v>163</v>
      </c>
      <c r="N606" s="42"/>
      <c r="P606" s="47">
        <v>307030</v>
      </c>
      <c r="R606" s="47" t="s">
        <v>699</v>
      </c>
    </row>
    <row r="607" spans="1:18">
      <c r="A607" s="2">
        <v>1</v>
      </c>
      <c r="B607" s="2">
        <v>606</v>
      </c>
      <c r="C607" s="37">
        <v>95271101</v>
      </c>
      <c r="D607" s="4"/>
      <c r="E607" s="43" t="s">
        <v>698</v>
      </c>
      <c r="F607" s="2">
        <v>20250731</v>
      </c>
      <c r="G607" s="2">
        <v>20250731</v>
      </c>
      <c r="H607" s="2">
        <v>20250731</v>
      </c>
      <c r="I607" s="40" t="s">
        <v>1141</v>
      </c>
      <c r="M607" s="40" t="s">
        <v>163</v>
      </c>
      <c r="N607" s="42"/>
      <c r="P607" s="47">
        <v>307030</v>
      </c>
      <c r="R607" s="47" t="s">
        <v>699</v>
      </c>
    </row>
    <row r="608" spans="1:18">
      <c r="A608" s="2">
        <v>1</v>
      </c>
      <c r="B608" s="2">
        <v>607</v>
      </c>
      <c r="C608" s="37">
        <v>95271101</v>
      </c>
      <c r="D608" s="4"/>
      <c r="E608" s="43" t="s">
        <v>698</v>
      </c>
      <c r="F608" s="2">
        <v>20250731</v>
      </c>
      <c r="G608" s="2">
        <v>20250731</v>
      </c>
      <c r="H608" s="2">
        <v>20250731</v>
      </c>
      <c r="I608" s="40" t="s">
        <v>872</v>
      </c>
      <c r="M608" s="40" t="s">
        <v>522</v>
      </c>
      <c r="N608" s="42"/>
      <c r="P608" s="47">
        <v>307030</v>
      </c>
      <c r="R608" s="47" t="s">
        <v>699</v>
      </c>
    </row>
    <row r="609" spans="1:18">
      <c r="A609" s="2">
        <v>1</v>
      </c>
      <c r="B609" s="2">
        <v>608</v>
      </c>
      <c r="C609" s="37">
        <v>95271101</v>
      </c>
      <c r="D609" s="4"/>
      <c r="E609" s="43" t="s">
        <v>698</v>
      </c>
      <c r="F609" s="2">
        <v>20250731</v>
      </c>
      <c r="G609" s="2">
        <v>20250731</v>
      </c>
      <c r="H609" s="2">
        <v>20250731</v>
      </c>
      <c r="I609" s="40" t="s">
        <v>874</v>
      </c>
      <c r="M609" s="40" t="s">
        <v>523</v>
      </c>
      <c r="N609" s="42"/>
      <c r="P609" s="47">
        <v>307030</v>
      </c>
      <c r="R609" s="47" t="s">
        <v>699</v>
      </c>
    </row>
    <row r="610" spans="1:18">
      <c r="A610" s="2">
        <v>1</v>
      </c>
      <c r="B610" s="2">
        <v>609</v>
      </c>
      <c r="C610" s="37">
        <v>95271101</v>
      </c>
      <c r="D610" s="4"/>
      <c r="E610" s="43" t="s">
        <v>698</v>
      </c>
      <c r="F610" s="2">
        <v>20250731</v>
      </c>
      <c r="G610" s="2">
        <v>20250731</v>
      </c>
      <c r="H610" s="2">
        <v>20250731</v>
      </c>
      <c r="I610" s="40" t="s">
        <v>875</v>
      </c>
      <c r="M610" s="40" t="s">
        <v>524</v>
      </c>
      <c r="N610" s="42"/>
      <c r="P610" s="47">
        <v>307030</v>
      </c>
      <c r="R610" s="47" t="s">
        <v>699</v>
      </c>
    </row>
    <row r="611" spans="1:18">
      <c r="A611" s="2">
        <v>1</v>
      </c>
      <c r="B611" s="2">
        <v>610</v>
      </c>
      <c r="C611" s="37">
        <v>95271101</v>
      </c>
      <c r="D611" s="4"/>
      <c r="E611" s="43" t="s">
        <v>698</v>
      </c>
      <c r="F611" s="2">
        <v>20250731</v>
      </c>
      <c r="G611" s="2">
        <v>20250731</v>
      </c>
      <c r="H611" s="2">
        <v>20250731</v>
      </c>
      <c r="I611" s="40" t="s">
        <v>876</v>
      </c>
      <c r="M611" s="40" t="s">
        <v>525</v>
      </c>
      <c r="N611" s="42"/>
      <c r="P611" s="47">
        <v>307030</v>
      </c>
      <c r="R611" s="47" t="s">
        <v>699</v>
      </c>
    </row>
    <row r="612" spans="1:18">
      <c r="A612" s="2">
        <v>1</v>
      </c>
      <c r="B612" s="2">
        <v>611</v>
      </c>
      <c r="C612" s="37">
        <v>95271101</v>
      </c>
      <c r="D612" s="4"/>
      <c r="E612" s="43" t="s">
        <v>698</v>
      </c>
      <c r="F612" s="2">
        <v>20250731</v>
      </c>
      <c r="G612" s="2">
        <v>20250731</v>
      </c>
      <c r="H612" s="2">
        <v>20250731</v>
      </c>
      <c r="I612" s="40" t="s">
        <v>898</v>
      </c>
      <c r="M612" s="40" t="s">
        <v>526</v>
      </c>
      <c r="N612" s="42"/>
      <c r="P612" s="47">
        <v>307030</v>
      </c>
      <c r="R612" s="47" t="s">
        <v>699</v>
      </c>
    </row>
    <row r="613" spans="1:18">
      <c r="A613" s="2">
        <v>1</v>
      </c>
      <c r="B613" s="2">
        <v>612</v>
      </c>
      <c r="C613" s="37">
        <v>95271101</v>
      </c>
      <c r="D613" s="4"/>
      <c r="E613" s="43" t="s">
        <v>698</v>
      </c>
      <c r="F613" s="2">
        <v>20250731</v>
      </c>
      <c r="G613" s="2">
        <v>20250731</v>
      </c>
      <c r="H613" s="2">
        <v>20250731</v>
      </c>
      <c r="I613" s="40" t="s">
        <v>902</v>
      </c>
      <c r="M613" s="40" t="s">
        <v>527</v>
      </c>
      <c r="N613" s="42"/>
      <c r="P613" s="47">
        <v>307030</v>
      </c>
      <c r="R613" s="47" t="s">
        <v>699</v>
      </c>
    </row>
    <row r="614" spans="1:18">
      <c r="A614" s="2">
        <v>1</v>
      </c>
      <c r="B614" s="2">
        <v>613</v>
      </c>
      <c r="C614" s="37">
        <v>95271101</v>
      </c>
      <c r="D614" s="4"/>
      <c r="E614" s="43" t="s">
        <v>698</v>
      </c>
      <c r="F614" s="2">
        <v>20250731</v>
      </c>
      <c r="G614" s="2">
        <v>20250731</v>
      </c>
      <c r="H614" s="2">
        <v>20250731</v>
      </c>
      <c r="I614" s="40" t="s">
        <v>906</v>
      </c>
      <c r="M614" s="40" t="s">
        <v>528</v>
      </c>
      <c r="N614" s="42"/>
      <c r="P614" s="47">
        <v>307030</v>
      </c>
      <c r="R614" s="47" t="s">
        <v>699</v>
      </c>
    </row>
    <row r="615" spans="1:18">
      <c r="A615" s="2">
        <v>1</v>
      </c>
      <c r="B615" s="2">
        <v>614</v>
      </c>
      <c r="C615" s="37">
        <v>95271101</v>
      </c>
      <c r="D615" s="4"/>
      <c r="E615" s="43" t="s">
        <v>698</v>
      </c>
      <c r="F615" s="2">
        <v>20250731</v>
      </c>
      <c r="G615" s="2">
        <v>20250731</v>
      </c>
      <c r="H615" s="2">
        <v>20250731</v>
      </c>
      <c r="I615" s="40" t="s">
        <v>912</v>
      </c>
      <c r="M615" s="40" t="s">
        <v>529</v>
      </c>
      <c r="N615" s="42"/>
      <c r="P615" s="47">
        <v>307030</v>
      </c>
      <c r="R615" s="47" t="s">
        <v>699</v>
      </c>
    </row>
    <row r="616" spans="1:18">
      <c r="A616" s="2">
        <v>1</v>
      </c>
      <c r="B616" s="2">
        <v>615</v>
      </c>
      <c r="C616" s="37">
        <v>95271101</v>
      </c>
      <c r="D616" s="4"/>
      <c r="E616" s="43" t="s">
        <v>698</v>
      </c>
      <c r="F616" s="2">
        <v>20250731</v>
      </c>
      <c r="G616" s="2">
        <v>20250731</v>
      </c>
      <c r="H616" s="2">
        <v>20250731</v>
      </c>
      <c r="I616" s="40" t="s">
        <v>913</v>
      </c>
      <c r="M616" s="40" t="s">
        <v>530</v>
      </c>
      <c r="N616" s="42"/>
      <c r="P616" s="47">
        <v>307030</v>
      </c>
      <c r="R616" s="47" t="s">
        <v>699</v>
      </c>
    </row>
    <row r="617" spans="1:18">
      <c r="A617" s="2">
        <v>1</v>
      </c>
      <c r="B617" s="2">
        <v>616</v>
      </c>
      <c r="C617" s="37">
        <v>95271101</v>
      </c>
      <c r="D617" s="4"/>
      <c r="E617" s="43" t="s">
        <v>698</v>
      </c>
      <c r="F617" s="2">
        <v>20250731</v>
      </c>
      <c r="G617" s="2">
        <v>20250731</v>
      </c>
      <c r="H617" s="2">
        <v>20250731</v>
      </c>
      <c r="I617" s="40" t="s">
        <v>731</v>
      </c>
      <c r="M617" s="40" t="s">
        <v>531</v>
      </c>
      <c r="N617" s="42"/>
      <c r="P617" s="47">
        <v>307030</v>
      </c>
      <c r="R617" s="47" t="s">
        <v>699</v>
      </c>
    </row>
    <row r="618" spans="1:18">
      <c r="A618" s="2">
        <v>1</v>
      </c>
      <c r="B618" s="2">
        <v>617</v>
      </c>
      <c r="C618" s="37">
        <v>95271101</v>
      </c>
      <c r="D618" s="4"/>
      <c r="E618" s="43" t="s">
        <v>698</v>
      </c>
      <c r="F618" s="2">
        <v>20250731</v>
      </c>
      <c r="G618" s="2">
        <v>20250731</v>
      </c>
      <c r="H618" s="2">
        <v>20250731</v>
      </c>
      <c r="I618" s="40" t="s">
        <v>923</v>
      </c>
      <c r="M618" s="40" t="s">
        <v>532</v>
      </c>
      <c r="N618" s="42"/>
      <c r="P618" s="47">
        <v>307030</v>
      </c>
      <c r="R618" s="47" t="s">
        <v>699</v>
      </c>
    </row>
    <row r="619" spans="1:18">
      <c r="A619" s="2">
        <v>1</v>
      </c>
      <c r="B619" s="2">
        <v>618</v>
      </c>
      <c r="C619" s="37">
        <v>95271101</v>
      </c>
      <c r="D619" s="4"/>
      <c r="E619" s="43" t="s">
        <v>698</v>
      </c>
      <c r="F619" s="2">
        <v>20250731</v>
      </c>
      <c r="G619" s="2">
        <v>20250731</v>
      </c>
      <c r="H619" s="2">
        <v>20250731</v>
      </c>
      <c r="I619" s="40" t="s">
        <v>1143</v>
      </c>
      <c r="M619" s="40" t="s">
        <v>528</v>
      </c>
      <c r="N619" s="42"/>
      <c r="P619" s="47">
        <v>307030</v>
      </c>
      <c r="R619" s="47" t="s">
        <v>699</v>
      </c>
    </row>
    <row r="620" spans="1:18">
      <c r="A620" s="2">
        <v>1</v>
      </c>
      <c r="B620" s="2">
        <v>619</v>
      </c>
      <c r="C620" s="37">
        <v>95271101</v>
      </c>
      <c r="D620" s="4"/>
      <c r="E620" s="43" t="s">
        <v>698</v>
      </c>
      <c r="F620" s="2">
        <v>20250731</v>
      </c>
      <c r="G620" s="2">
        <v>20250731</v>
      </c>
      <c r="H620" s="2">
        <v>20250731</v>
      </c>
      <c r="I620" s="40" t="s">
        <v>896</v>
      </c>
      <c r="M620" s="40" t="s">
        <v>475</v>
      </c>
      <c r="N620" s="42"/>
      <c r="P620" s="47">
        <v>307030</v>
      </c>
      <c r="R620" s="47" t="s">
        <v>699</v>
      </c>
    </row>
    <row r="621" spans="1:18">
      <c r="A621" s="2">
        <v>1</v>
      </c>
      <c r="B621" s="2">
        <v>620</v>
      </c>
      <c r="C621" s="37">
        <v>95271101</v>
      </c>
      <c r="D621" s="4"/>
      <c r="E621" s="43" t="s">
        <v>698</v>
      </c>
      <c r="F621" s="2">
        <v>20250731</v>
      </c>
      <c r="G621" s="2">
        <v>20250731</v>
      </c>
      <c r="H621" s="2">
        <v>20250731</v>
      </c>
      <c r="I621" s="40" t="s">
        <v>897</v>
      </c>
      <c r="M621" s="40" t="s">
        <v>241</v>
      </c>
      <c r="N621" s="42"/>
      <c r="P621" s="47">
        <v>307030</v>
      </c>
      <c r="R621" s="47" t="s">
        <v>699</v>
      </c>
    </row>
    <row r="622" spans="1:18">
      <c r="A622" s="2">
        <v>1</v>
      </c>
      <c r="B622" s="2">
        <v>621</v>
      </c>
      <c r="C622" s="37">
        <v>95271101</v>
      </c>
      <c r="D622" s="4"/>
      <c r="E622" s="43" t="s">
        <v>698</v>
      </c>
      <c r="F622" s="2">
        <v>20250731</v>
      </c>
      <c r="G622" s="2">
        <v>20250731</v>
      </c>
      <c r="H622" s="2">
        <v>20250731</v>
      </c>
      <c r="I622" s="40" t="s">
        <v>730</v>
      </c>
      <c r="M622" s="40" t="s">
        <v>229</v>
      </c>
      <c r="N622" s="42"/>
      <c r="P622" s="47">
        <v>307030</v>
      </c>
      <c r="R622" s="47" t="s">
        <v>699</v>
      </c>
    </row>
    <row r="623" spans="1:18">
      <c r="A623" s="2">
        <v>1</v>
      </c>
      <c r="B623" s="2">
        <v>622</v>
      </c>
      <c r="C623" s="37">
        <v>95271101</v>
      </c>
      <c r="D623" s="4"/>
      <c r="E623" s="43" t="s">
        <v>698</v>
      </c>
      <c r="F623" s="2">
        <v>20250731</v>
      </c>
      <c r="G623" s="2">
        <v>20250731</v>
      </c>
      <c r="H623" s="2">
        <v>20250731</v>
      </c>
      <c r="I623" s="40" t="s">
        <v>866</v>
      </c>
      <c r="M623" s="40" t="s">
        <v>533</v>
      </c>
      <c r="N623" s="42"/>
      <c r="P623" s="47">
        <v>307030</v>
      </c>
      <c r="R623" s="47" t="s">
        <v>699</v>
      </c>
    </row>
    <row r="624" spans="1:18">
      <c r="A624" s="2">
        <v>1</v>
      </c>
      <c r="B624" s="2">
        <v>623</v>
      </c>
      <c r="C624" s="37">
        <v>95271101</v>
      </c>
      <c r="D624" s="4"/>
      <c r="E624" s="43" t="s">
        <v>698</v>
      </c>
      <c r="F624" s="2">
        <v>20250731</v>
      </c>
      <c r="G624" s="2">
        <v>20250731</v>
      </c>
      <c r="H624" s="2">
        <v>20250731</v>
      </c>
      <c r="I624" s="40" t="s">
        <v>868</v>
      </c>
      <c r="M624" s="40" t="s">
        <v>470</v>
      </c>
      <c r="N624" s="42"/>
      <c r="P624" s="47">
        <v>307030</v>
      </c>
      <c r="R624" s="47" t="s">
        <v>699</v>
      </c>
    </row>
    <row r="625" spans="1:18">
      <c r="A625" s="2">
        <v>1</v>
      </c>
      <c r="B625" s="2">
        <v>624</v>
      </c>
      <c r="C625" s="37">
        <v>95271101</v>
      </c>
      <c r="D625" s="4"/>
      <c r="E625" s="43" t="s">
        <v>698</v>
      </c>
      <c r="F625" s="2">
        <v>20250731</v>
      </c>
      <c r="G625" s="2">
        <v>20250731</v>
      </c>
      <c r="H625" s="2">
        <v>20250731</v>
      </c>
      <c r="I625" s="40" t="s">
        <v>883</v>
      </c>
      <c r="M625" s="40" t="s">
        <v>534</v>
      </c>
      <c r="N625" s="42"/>
      <c r="P625" s="47">
        <v>307030</v>
      </c>
      <c r="R625" s="47" t="s">
        <v>699</v>
      </c>
    </row>
    <row r="626" spans="1:18">
      <c r="A626" s="2">
        <v>1</v>
      </c>
      <c r="B626" s="2">
        <v>625</v>
      </c>
      <c r="C626" s="37">
        <v>95271101</v>
      </c>
      <c r="D626" s="4"/>
      <c r="E626" s="43" t="s">
        <v>698</v>
      </c>
      <c r="F626" s="2">
        <v>20250731</v>
      </c>
      <c r="G626" s="2">
        <v>20250731</v>
      </c>
      <c r="H626" s="2">
        <v>20250731</v>
      </c>
      <c r="I626" s="40" t="s">
        <v>887</v>
      </c>
      <c r="M626" s="40" t="s">
        <v>535</v>
      </c>
      <c r="N626" s="42"/>
      <c r="P626" s="47">
        <v>307030</v>
      </c>
      <c r="R626" s="47" t="s">
        <v>699</v>
      </c>
    </row>
    <row r="627" spans="1:18">
      <c r="A627" s="2">
        <v>1</v>
      </c>
      <c r="B627" s="2">
        <v>626</v>
      </c>
      <c r="C627" s="37">
        <v>95271101</v>
      </c>
      <c r="D627" s="4"/>
      <c r="E627" s="43" t="s">
        <v>698</v>
      </c>
      <c r="F627" s="2">
        <v>20250731</v>
      </c>
      <c r="G627" s="2">
        <v>20250731</v>
      </c>
      <c r="H627" s="2">
        <v>20250731</v>
      </c>
      <c r="I627" s="40" t="s">
        <v>888</v>
      </c>
      <c r="M627" s="40" t="s">
        <v>528</v>
      </c>
      <c r="N627" s="42"/>
      <c r="P627" s="47">
        <v>307030</v>
      </c>
      <c r="R627" s="47" t="s">
        <v>699</v>
      </c>
    </row>
    <row r="628" spans="1:18">
      <c r="A628" s="2">
        <v>1</v>
      </c>
      <c r="B628" s="2">
        <v>627</v>
      </c>
      <c r="C628" s="37">
        <v>95271101</v>
      </c>
      <c r="D628" s="4"/>
      <c r="E628" s="43" t="s">
        <v>698</v>
      </c>
      <c r="F628" s="2">
        <v>20250731</v>
      </c>
      <c r="G628" s="2">
        <v>20250731</v>
      </c>
      <c r="H628" s="2">
        <v>20250731</v>
      </c>
      <c r="I628" s="40" t="s">
        <v>899</v>
      </c>
      <c r="M628" s="40" t="s">
        <v>536</v>
      </c>
      <c r="N628" s="42"/>
      <c r="P628" s="47">
        <v>307030</v>
      </c>
      <c r="R628" s="47" t="s">
        <v>699</v>
      </c>
    </row>
    <row r="629" spans="1:18">
      <c r="A629" s="2">
        <v>1</v>
      </c>
      <c r="B629" s="2">
        <v>628</v>
      </c>
      <c r="C629" s="37">
        <v>95271101</v>
      </c>
      <c r="D629" s="4"/>
      <c r="E629" s="43" t="s">
        <v>698</v>
      </c>
      <c r="F629" s="2">
        <v>20250731</v>
      </c>
      <c r="G629" s="2">
        <v>20250731</v>
      </c>
      <c r="H629" s="2">
        <v>20250731</v>
      </c>
      <c r="I629" s="40" t="s">
        <v>881</v>
      </c>
      <c r="M629" s="40" t="s">
        <v>537</v>
      </c>
      <c r="N629" s="42"/>
      <c r="P629" s="47">
        <v>307030</v>
      </c>
      <c r="R629" s="47" t="s">
        <v>699</v>
      </c>
    </row>
    <row r="630" spans="1:18">
      <c r="A630" s="2">
        <v>1</v>
      </c>
      <c r="B630" s="2">
        <v>629</v>
      </c>
      <c r="C630" s="37">
        <v>95271101</v>
      </c>
      <c r="D630" s="4"/>
      <c r="E630" s="43" t="s">
        <v>698</v>
      </c>
      <c r="F630" s="2">
        <v>20250731</v>
      </c>
      <c r="G630" s="2">
        <v>20250731</v>
      </c>
      <c r="H630" s="2">
        <v>20250731</v>
      </c>
      <c r="I630" s="40" t="s">
        <v>901</v>
      </c>
      <c r="M630" s="40" t="s">
        <v>242</v>
      </c>
      <c r="N630" s="42"/>
      <c r="P630" s="47">
        <v>307030</v>
      </c>
      <c r="R630" s="47" t="s">
        <v>699</v>
      </c>
    </row>
    <row r="631" spans="1:18">
      <c r="A631" s="2">
        <v>1</v>
      </c>
      <c r="B631" s="2">
        <v>630</v>
      </c>
      <c r="C631" s="37">
        <v>95271101</v>
      </c>
      <c r="D631" s="4"/>
      <c r="E631" s="43" t="s">
        <v>698</v>
      </c>
      <c r="F631" s="2">
        <v>20250731</v>
      </c>
      <c r="G631" s="2">
        <v>20250731</v>
      </c>
      <c r="H631" s="2">
        <v>20250731</v>
      </c>
      <c r="I631" s="40" t="s">
        <v>907</v>
      </c>
      <c r="M631" s="40" t="s">
        <v>538</v>
      </c>
      <c r="N631" s="42"/>
      <c r="P631" s="47">
        <v>307030</v>
      </c>
      <c r="R631" s="47" t="s">
        <v>699</v>
      </c>
    </row>
    <row r="632" spans="1:18">
      <c r="A632" s="2">
        <v>1</v>
      </c>
      <c r="B632" s="2">
        <v>631</v>
      </c>
      <c r="C632" s="37">
        <v>95271101</v>
      </c>
      <c r="D632" s="4"/>
      <c r="E632" s="43" t="s">
        <v>698</v>
      </c>
      <c r="F632" s="2">
        <v>20250731</v>
      </c>
      <c r="G632" s="2">
        <v>20250731</v>
      </c>
      <c r="H632" s="2">
        <v>20250731</v>
      </c>
      <c r="I632" s="40" t="s">
        <v>911</v>
      </c>
      <c r="M632" s="40" t="s">
        <v>539</v>
      </c>
      <c r="N632" s="42"/>
      <c r="P632" s="47">
        <v>307030</v>
      </c>
      <c r="R632" s="47" t="s">
        <v>699</v>
      </c>
    </row>
    <row r="633" spans="1:18">
      <c r="A633" s="2">
        <v>1</v>
      </c>
      <c r="B633" s="2">
        <v>632</v>
      </c>
      <c r="C633" s="37">
        <v>95271101</v>
      </c>
      <c r="D633" s="4"/>
      <c r="E633" s="43" t="s">
        <v>698</v>
      </c>
      <c r="F633" s="2">
        <v>20250731</v>
      </c>
      <c r="G633" s="2">
        <v>20250731</v>
      </c>
      <c r="H633" s="2">
        <v>20250731</v>
      </c>
      <c r="I633" s="40" t="s">
        <v>727</v>
      </c>
      <c r="M633" s="40" t="s">
        <v>164</v>
      </c>
      <c r="N633" s="42"/>
      <c r="P633" s="47">
        <v>307030</v>
      </c>
      <c r="R633" s="47" t="s">
        <v>699</v>
      </c>
    </row>
    <row r="634" spans="1:18">
      <c r="A634" s="2">
        <v>1</v>
      </c>
      <c r="B634" s="2">
        <v>633</v>
      </c>
      <c r="C634" s="37">
        <v>95271101</v>
      </c>
      <c r="D634" s="4"/>
      <c r="E634" s="43" t="s">
        <v>698</v>
      </c>
      <c r="F634" s="2">
        <v>20250731</v>
      </c>
      <c r="G634" s="2">
        <v>20250731</v>
      </c>
      <c r="H634" s="2">
        <v>20250731</v>
      </c>
      <c r="I634" s="40" t="s">
        <v>878</v>
      </c>
      <c r="M634" s="40" t="s">
        <v>540</v>
      </c>
      <c r="N634" s="42"/>
      <c r="P634" s="47">
        <v>307030</v>
      </c>
      <c r="R634" s="47" t="s">
        <v>699</v>
      </c>
    </row>
    <row r="635" spans="1:18">
      <c r="A635" s="2">
        <v>1</v>
      </c>
      <c r="B635" s="2">
        <v>634</v>
      </c>
      <c r="C635" s="37">
        <v>95271101</v>
      </c>
      <c r="D635" s="4"/>
      <c r="E635" s="43" t="s">
        <v>698</v>
      </c>
      <c r="F635" s="2">
        <v>20250731</v>
      </c>
      <c r="G635" s="2">
        <v>20250731</v>
      </c>
      <c r="H635" s="2">
        <v>20250731</v>
      </c>
      <c r="I635" s="40" t="s">
        <v>879</v>
      </c>
      <c r="M635" s="40" t="s">
        <v>541</v>
      </c>
      <c r="N635" s="42"/>
      <c r="P635" s="47">
        <v>307030</v>
      </c>
      <c r="R635" s="47" t="s">
        <v>699</v>
      </c>
    </row>
    <row r="636" spans="1:18">
      <c r="A636" s="2">
        <v>1</v>
      </c>
      <c r="B636" s="2">
        <v>635</v>
      </c>
      <c r="C636" s="37">
        <v>95271101</v>
      </c>
      <c r="D636" s="4"/>
      <c r="E636" s="43" t="s">
        <v>698</v>
      </c>
      <c r="F636" s="2">
        <v>20250731</v>
      </c>
      <c r="G636" s="2">
        <v>20250731</v>
      </c>
      <c r="H636" s="2">
        <v>20250731</v>
      </c>
      <c r="I636" s="40" t="s">
        <v>891</v>
      </c>
      <c r="M636" s="40" t="s">
        <v>542</v>
      </c>
      <c r="N636" s="42"/>
      <c r="P636" s="47">
        <v>307030</v>
      </c>
      <c r="R636" s="47" t="s">
        <v>699</v>
      </c>
    </row>
    <row r="637" spans="1:18">
      <c r="A637" s="2">
        <v>1</v>
      </c>
      <c r="B637" s="2">
        <v>636</v>
      </c>
      <c r="C637" s="37">
        <v>95271101</v>
      </c>
      <c r="D637" s="4"/>
      <c r="E637" s="43" t="s">
        <v>698</v>
      </c>
      <c r="F637" s="2">
        <v>20250731</v>
      </c>
      <c r="G637" s="2">
        <v>20250731</v>
      </c>
      <c r="H637" s="2">
        <v>20250731</v>
      </c>
      <c r="I637" s="40" t="s">
        <v>894</v>
      </c>
      <c r="M637" s="40" t="s">
        <v>543</v>
      </c>
      <c r="N637" s="42"/>
      <c r="P637" s="47">
        <v>307030</v>
      </c>
      <c r="R637" s="47" t="s">
        <v>699</v>
      </c>
    </row>
    <row r="638" spans="1:18">
      <c r="A638" s="2">
        <v>1</v>
      </c>
      <c r="B638" s="2">
        <v>637</v>
      </c>
      <c r="C638" s="37">
        <v>95271101</v>
      </c>
      <c r="D638" s="4"/>
      <c r="E638" s="43" t="s">
        <v>698</v>
      </c>
      <c r="F638" s="2">
        <v>20250731</v>
      </c>
      <c r="G638" s="2">
        <v>20250731</v>
      </c>
      <c r="H638" s="2">
        <v>20250731</v>
      </c>
      <c r="I638" s="40" t="s">
        <v>867</v>
      </c>
      <c r="M638" s="40" t="s">
        <v>544</v>
      </c>
      <c r="N638" s="42"/>
      <c r="P638" s="47">
        <v>307030</v>
      </c>
      <c r="R638" s="47" t="s">
        <v>699</v>
      </c>
    </row>
    <row r="639" spans="1:18">
      <c r="A639" s="2">
        <v>1</v>
      </c>
      <c r="B639" s="2">
        <v>638</v>
      </c>
      <c r="C639" s="37">
        <v>95271101</v>
      </c>
      <c r="D639" s="4"/>
      <c r="E639" s="43" t="s">
        <v>698</v>
      </c>
      <c r="F639" s="2">
        <v>20250731</v>
      </c>
      <c r="G639" s="2">
        <v>20250731</v>
      </c>
      <c r="H639" s="2">
        <v>20250731</v>
      </c>
      <c r="I639" s="40" t="s">
        <v>885</v>
      </c>
      <c r="M639" s="40" t="s">
        <v>545</v>
      </c>
      <c r="N639" s="42"/>
      <c r="P639" s="47">
        <v>307030</v>
      </c>
      <c r="R639" s="47" t="s">
        <v>699</v>
      </c>
    </row>
    <row r="640" spans="1:18">
      <c r="A640" s="2">
        <v>1</v>
      </c>
      <c r="B640" s="2">
        <v>639</v>
      </c>
      <c r="C640" s="37">
        <v>95271101</v>
      </c>
      <c r="D640" s="4"/>
      <c r="E640" s="43" t="s">
        <v>698</v>
      </c>
      <c r="F640" s="2">
        <v>20250731</v>
      </c>
      <c r="G640" s="2">
        <v>20250731</v>
      </c>
      <c r="H640" s="2">
        <v>20250731</v>
      </c>
      <c r="I640" s="40" t="s">
        <v>729</v>
      </c>
      <c r="M640" s="40" t="s">
        <v>546</v>
      </c>
      <c r="N640" s="42"/>
      <c r="P640" s="47">
        <v>307030</v>
      </c>
      <c r="R640" s="47" t="s">
        <v>699</v>
      </c>
    </row>
    <row r="641" spans="1:18">
      <c r="A641" s="2">
        <v>1</v>
      </c>
      <c r="B641" s="2">
        <v>640</v>
      </c>
      <c r="C641" s="37">
        <v>95271101</v>
      </c>
      <c r="D641" s="4"/>
      <c r="E641" s="43" t="s">
        <v>698</v>
      </c>
      <c r="F641" s="2">
        <v>20250731</v>
      </c>
      <c r="G641" s="2">
        <v>20250731</v>
      </c>
      <c r="H641" s="2">
        <v>20250731</v>
      </c>
      <c r="I641" s="40" t="s">
        <v>865</v>
      </c>
      <c r="M641" s="40" t="s">
        <v>175</v>
      </c>
      <c r="N641" s="42"/>
      <c r="P641" s="47">
        <v>307030</v>
      </c>
      <c r="R641" s="47" t="s">
        <v>699</v>
      </c>
    </row>
    <row r="642" spans="1:18">
      <c r="A642" s="2">
        <v>1</v>
      </c>
      <c r="B642" s="2">
        <v>641</v>
      </c>
      <c r="C642" s="37">
        <v>95271101</v>
      </c>
      <c r="D642" s="4"/>
      <c r="E642" s="43" t="s">
        <v>698</v>
      </c>
      <c r="F642" s="2">
        <v>20250731</v>
      </c>
      <c r="G642" s="2">
        <v>20250731</v>
      </c>
      <c r="H642" s="2">
        <v>20250731</v>
      </c>
      <c r="I642" s="40" t="s">
        <v>726</v>
      </c>
      <c r="M642" s="40" t="s">
        <v>547</v>
      </c>
      <c r="N642" s="42"/>
      <c r="P642" s="47">
        <v>307030</v>
      </c>
      <c r="R642" s="47" t="s">
        <v>699</v>
      </c>
    </row>
    <row r="643" spans="1:18">
      <c r="A643" s="2">
        <v>1</v>
      </c>
      <c r="B643" s="2">
        <v>642</v>
      </c>
      <c r="C643" s="37">
        <v>95271101</v>
      </c>
      <c r="D643" s="4"/>
      <c r="E643" s="43" t="s">
        <v>698</v>
      </c>
      <c r="F643" s="2">
        <v>20250731</v>
      </c>
      <c r="G643" s="2">
        <v>20250731</v>
      </c>
      <c r="H643" s="2">
        <v>20250731</v>
      </c>
      <c r="I643" s="40" t="s">
        <v>882</v>
      </c>
      <c r="M643" s="40" t="s">
        <v>475</v>
      </c>
      <c r="N643" s="42"/>
      <c r="P643" s="47">
        <v>307030</v>
      </c>
      <c r="R643" s="47" t="s">
        <v>699</v>
      </c>
    </row>
    <row r="644" spans="1:18">
      <c r="A644" s="2">
        <v>1</v>
      </c>
      <c r="B644" s="2">
        <v>643</v>
      </c>
      <c r="C644" s="37">
        <v>95271101</v>
      </c>
      <c r="D644" s="4"/>
      <c r="E644" s="43" t="s">
        <v>698</v>
      </c>
      <c r="F644" s="2">
        <v>20250731</v>
      </c>
      <c r="G644" s="2">
        <v>20250731</v>
      </c>
      <c r="H644" s="2">
        <v>20250731</v>
      </c>
      <c r="I644" s="40" t="s">
        <v>908</v>
      </c>
      <c r="M644" s="40" t="s">
        <v>548</v>
      </c>
      <c r="N644" s="42"/>
      <c r="P644" s="47">
        <v>307030</v>
      </c>
      <c r="R644" s="47" t="s">
        <v>699</v>
      </c>
    </row>
    <row r="645" spans="1:18">
      <c r="A645" s="2">
        <v>1</v>
      </c>
      <c r="B645" s="2">
        <v>644</v>
      </c>
      <c r="C645" s="37">
        <v>95271101</v>
      </c>
      <c r="D645" s="4"/>
      <c r="E645" s="43" t="s">
        <v>698</v>
      </c>
      <c r="F645" s="2">
        <v>20250731</v>
      </c>
      <c r="G645" s="2">
        <v>20250731</v>
      </c>
      <c r="H645" s="2">
        <v>20250731</v>
      </c>
      <c r="I645" s="40" t="s">
        <v>909</v>
      </c>
      <c r="M645" s="40" t="s">
        <v>172</v>
      </c>
      <c r="N645" s="42"/>
      <c r="P645" s="47">
        <v>307030</v>
      </c>
      <c r="R645" s="47" t="s">
        <v>699</v>
      </c>
    </row>
    <row r="646" spans="1:18">
      <c r="A646" s="2">
        <v>1</v>
      </c>
      <c r="B646" s="2">
        <v>645</v>
      </c>
      <c r="C646" s="37">
        <v>95271101</v>
      </c>
      <c r="D646" s="4"/>
      <c r="E646" s="43" t="s">
        <v>698</v>
      </c>
      <c r="F646" s="2">
        <v>20250731</v>
      </c>
      <c r="G646" s="2">
        <v>20250731</v>
      </c>
      <c r="H646" s="2">
        <v>20250731</v>
      </c>
      <c r="I646" s="40" t="s">
        <v>914</v>
      </c>
      <c r="M646" s="40" t="s">
        <v>549</v>
      </c>
      <c r="N646" s="42"/>
      <c r="P646" s="47">
        <v>307030</v>
      </c>
      <c r="R646" s="47" t="s">
        <v>699</v>
      </c>
    </row>
    <row r="647" spans="1:18">
      <c r="A647" s="2">
        <v>1</v>
      </c>
      <c r="B647" s="2">
        <v>646</v>
      </c>
      <c r="C647" s="37">
        <v>95271101</v>
      </c>
      <c r="D647" s="4"/>
      <c r="E647" s="43" t="s">
        <v>698</v>
      </c>
      <c r="F647" s="2">
        <v>20250731</v>
      </c>
      <c r="G647" s="2">
        <v>20250731</v>
      </c>
      <c r="H647" s="2">
        <v>20250731</v>
      </c>
      <c r="I647" s="40" t="s">
        <v>918</v>
      </c>
      <c r="M647" s="40" t="s">
        <v>550</v>
      </c>
      <c r="N647" s="42"/>
      <c r="P647" s="47">
        <v>307030</v>
      </c>
      <c r="R647" s="47" t="s">
        <v>699</v>
      </c>
    </row>
    <row r="648" spans="1:18">
      <c r="A648" s="2">
        <v>1</v>
      </c>
      <c r="B648" s="2">
        <v>647</v>
      </c>
      <c r="C648" s="37">
        <v>95271101</v>
      </c>
      <c r="D648" s="4"/>
      <c r="E648" s="43" t="s">
        <v>698</v>
      </c>
      <c r="F648" s="2">
        <v>20250731</v>
      </c>
      <c r="G648" s="2">
        <v>20250731</v>
      </c>
      <c r="H648" s="2">
        <v>20250731</v>
      </c>
      <c r="I648" s="40" t="s">
        <v>920</v>
      </c>
      <c r="M648" s="40" t="s">
        <v>551</v>
      </c>
      <c r="N648" s="42"/>
      <c r="P648" s="47">
        <v>307030</v>
      </c>
      <c r="R648" s="47" t="s">
        <v>699</v>
      </c>
    </row>
    <row r="649" spans="1:18">
      <c r="A649" s="2">
        <v>1</v>
      </c>
      <c r="B649" s="2">
        <v>648</v>
      </c>
      <c r="C649" s="37">
        <v>95271101</v>
      </c>
      <c r="D649" s="4"/>
      <c r="E649" s="43" t="s">
        <v>698</v>
      </c>
      <c r="F649" s="2">
        <v>20250731</v>
      </c>
      <c r="G649" s="2">
        <v>20250731</v>
      </c>
      <c r="H649" s="2">
        <v>20250731</v>
      </c>
      <c r="I649" s="40" t="s">
        <v>1146</v>
      </c>
      <c r="M649" s="40" t="s">
        <v>229</v>
      </c>
      <c r="N649" s="42"/>
      <c r="P649" s="47">
        <v>307030</v>
      </c>
      <c r="R649" s="47" t="s">
        <v>699</v>
      </c>
    </row>
    <row r="650" spans="1:18">
      <c r="A650" s="2">
        <v>1</v>
      </c>
      <c r="B650" s="2">
        <v>649</v>
      </c>
      <c r="C650" s="37">
        <v>95271101</v>
      </c>
      <c r="D650" s="4"/>
      <c r="E650" s="43" t="s">
        <v>698</v>
      </c>
      <c r="F650" s="2">
        <v>20250731</v>
      </c>
      <c r="G650" s="2">
        <v>20250731</v>
      </c>
      <c r="H650" s="2">
        <v>20250731</v>
      </c>
      <c r="I650" s="40" t="s">
        <v>877</v>
      </c>
      <c r="M650" s="40" t="s">
        <v>552</v>
      </c>
      <c r="N650" s="42"/>
      <c r="P650" s="47">
        <v>307030</v>
      </c>
      <c r="R650" s="47" t="s">
        <v>699</v>
      </c>
    </row>
    <row r="651" spans="1:18">
      <c r="A651" s="2">
        <v>1</v>
      </c>
      <c r="B651" s="2">
        <v>650</v>
      </c>
      <c r="C651" s="37">
        <v>95271101</v>
      </c>
      <c r="D651" s="4"/>
      <c r="E651" s="43" t="s">
        <v>698</v>
      </c>
      <c r="F651" s="2">
        <v>20250731</v>
      </c>
      <c r="G651" s="2">
        <v>20250731</v>
      </c>
      <c r="H651" s="2">
        <v>20250731</v>
      </c>
      <c r="I651" s="40" t="s">
        <v>915</v>
      </c>
      <c r="M651" s="40" t="s">
        <v>553</v>
      </c>
      <c r="N651" s="42"/>
      <c r="P651" s="47">
        <v>307030</v>
      </c>
      <c r="R651" s="47" t="s">
        <v>699</v>
      </c>
    </row>
    <row r="652" spans="1:18">
      <c r="A652" s="2">
        <v>1</v>
      </c>
      <c r="B652" s="2">
        <v>651</v>
      </c>
      <c r="C652" s="37">
        <v>95271101</v>
      </c>
      <c r="D652" s="4"/>
      <c r="E652" s="43" t="s">
        <v>698</v>
      </c>
      <c r="F652" s="2">
        <v>20250731</v>
      </c>
      <c r="G652" s="2">
        <v>20250731</v>
      </c>
      <c r="H652" s="2">
        <v>20250731</v>
      </c>
      <c r="I652" s="40" t="s">
        <v>922</v>
      </c>
      <c r="M652" s="40" t="s">
        <v>554</v>
      </c>
      <c r="N652" s="42"/>
      <c r="P652" s="47">
        <v>307030</v>
      </c>
      <c r="R652" s="47" t="s">
        <v>699</v>
      </c>
    </row>
    <row r="653" spans="1:18">
      <c r="A653" s="2">
        <v>1</v>
      </c>
      <c r="B653" s="2">
        <v>652</v>
      </c>
      <c r="C653" s="37">
        <v>95271101</v>
      </c>
      <c r="D653" s="4"/>
      <c r="E653" s="43" t="s">
        <v>698</v>
      </c>
      <c r="F653" s="2">
        <v>20250731</v>
      </c>
      <c r="G653" s="2">
        <v>20250731</v>
      </c>
      <c r="H653" s="2">
        <v>20250731</v>
      </c>
      <c r="I653" s="40" t="s">
        <v>921</v>
      </c>
      <c r="M653" s="40" t="s">
        <v>555</v>
      </c>
      <c r="N653" s="42"/>
      <c r="P653" s="47">
        <v>307030</v>
      </c>
      <c r="R653" s="47" t="s">
        <v>699</v>
      </c>
    </row>
    <row r="654" spans="1:18">
      <c r="A654" s="2">
        <v>1</v>
      </c>
      <c r="B654" s="2">
        <v>653</v>
      </c>
      <c r="C654" s="37">
        <v>95271101</v>
      </c>
      <c r="D654" s="4"/>
      <c r="E654" s="43" t="s">
        <v>698</v>
      </c>
      <c r="F654" s="2">
        <v>20250731</v>
      </c>
      <c r="G654" s="2">
        <v>20250731</v>
      </c>
      <c r="H654" s="2">
        <v>20250731</v>
      </c>
      <c r="I654" s="40" t="s">
        <v>869</v>
      </c>
      <c r="M654" s="40" t="s">
        <v>556</v>
      </c>
      <c r="N654" s="42"/>
      <c r="P654" s="47">
        <v>307030</v>
      </c>
      <c r="R654" s="47" t="s">
        <v>699</v>
      </c>
    </row>
    <row r="655" spans="1:18">
      <c r="A655" s="2">
        <v>1</v>
      </c>
      <c r="B655" s="2">
        <v>654</v>
      </c>
      <c r="C655" s="37">
        <v>95271101</v>
      </c>
      <c r="D655" s="4"/>
      <c r="E655" s="43" t="s">
        <v>698</v>
      </c>
      <c r="F655" s="2">
        <v>20250731</v>
      </c>
      <c r="G655" s="2">
        <v>20250731</v>
      </c>
      <c r="H655" s="2">
        <v>20250731</v>
      </c>
      <c r="I655" s="40" t="s">
        <v>884</v>
      </c>
      <c r="M655" s="40" t="s">
        <v>557</v>
      </c>
      <c r="N655" s="42"/>
      <c r="P655" s="47">
        <v>307030</v>
      </c>
      <c r="R655" s="47" t="s">
        <v>699</v>
      </c>
    </row>
    <row r="656" spans="1:18">
      <c r="A656" s="2">
        <v>1</v>
      </c>
      <c r="B656" s="2">
        <v>655</v>
      </c>
      <c r="C656" s="37">
        <v>95271101</v>
      </c>
      <c r="D656" s="4"/>
      <c r="E656" s="43" t="s">
        <v>698</v>
      </c>
      <c r="F656" s="2">
        <v>20250731</v>
      </c>
      <c r="G656" s="2">
        <v>20250731</v>
      </c>
      <c r="H656" s="2">
        <v>20250731</v>
      </c>
      <c r="I656" s="40" t="s">
        <v>890</v>
      </c>
      <c r="M656" s="40" t="s">
        <v>160</v>
      </c>
      <c r="N656" s="42"/>
      <c r="P656" s="47">
        <v>307030</v>
      </c>
      <c r="R656" s="47" t="s">
        <v>699</v>
      </c>
    </row>
    <row r="657" spans="1:18">
      <c r="A657" s="2">
        <v>1</v>
      </c>
      <c r="B657" s="2">
        <v>656</v>
      </c>
      <c r="C657" s="37">
        <v>95271101</v>
      </c>
      <c r="D657" s="4"/>
      <c r="E657" s="43" t="s">
        <v>698</v>
      </c>
      <c r="F657" s="2">
        <v>20250731</v>
      </c>
      <c r="G657" s="2">
        <v>20250731</v>
      </c>
      <c r="H657" s="2">
        <v>20250731</v>
      </c>
      <c r="I657" s="40" t="s">
        <v>931</v>
      </c>
      <c r="M657" s="40" t="s">
        <v>245</v>
      </c>
      <c r="N657" s="42"/>
      <c r="P657" s="47">
        <v>307030</v>
      </c>
      <c r="R657" s="47" t="s">
        <v>699</v>
      </c>
    </row>
    <row r="658" spans="1:18">
      <c r="A658" s="2">
        <v>1</v>
      </c>
      <c r="B658" s="2">
        <v>657</v>
      </c>
      <c r="C658" s="37">
        <v>95271101</v>
      </c>
      <c r="D658" s="4"/>
      <c r="E658" s="43" t="s">
        <v>698</v>
      </c>
      <c r="F658" s="2">
        <v>20250731</v>
      </c>
      <c r="G658" s="2">
        <v>20250731</v>
      </c>
      <c r="H658" s="2">
        <v>20250731</v>
      </c>
      <c r="I658" s="40" t="s">
        <v>932</v>
      </c>
      <c r="M658" s="40" t="s">
        <v>558</v>
      </c>
      <c r="N658" s="42"/>
      <c r="P658" s="47">
        <v>307030</v>
      </c>
      <c r="R658" s="47" t="s">
        <v>699</v>
      </c>
    </row>
    <row r="659" spans="1:18">
      <c r="A659" s="2">
        <v>1</v>
      </c>
      <c r="B659" s="2">
        <v>658</v>
      </c>
      <c r="C659" s="37">
        <v>95271101</v>
      </c>
      <c r="D659" s="4"/>
      <c r="E659" s="43" t="s">
        <v>698</v>
      </c>
      <c r="F659" s="2">
        <v>20250731</v>
      </c>
      <c r="G659" s="2">
        <v>20250731</v>
      </c>
      <c r="H659" s="2">
        <v>20250731</v>
      </c>
      <c r="I659" s="40" t="s">
        <v>1148</v>
      </c>
      <c r="M659" s="40" t="s">
        <v>475</v>
      </c>
      <c r="N659" s="42"/>
      <c r="P659" s="47">
        <v>307030</v>
      </c>
      <c r="R659" s="47" t="s">
        <v>699</v>
      </c>
    </row>
    <row r="660" spans="1:18">
      <c r="A660" s="2">
        <v>1</v>
      </c>
      <c r="B660" s="2">
        <v>659</v>
      </c>
      <c r="C660" s="37">
        <v>95271101</v>
      </c>
      <c r="D660" s="4"/>
      <c r="E660" s="43" t="s">
        <v>698</v>
      </c>
      <c r="F660" s="2">
        <v>20250731</v>
      </c>
      <c r="G660" s="2">
        <v>20250731</v>
      </c>
      <c r="H660" s="2">
        <v>20250731</v>
      </c>
      <c r="I660" s="40" t="s">
        <v>1149</v>
      </c>
      <c r="M660" s="40" t="s">
        <v>163</v>
      </c>
      <c r="N660" s="42"/>
      <c r="P660" s="47">
        <v>307030</v>
      </c>
      <c r="R660" s="47" t="s">
        <v>699</v>
      </c>
    </row>
    <row r="661" spans="1:18">
      <c r="A661" s="2">
        <v>1</v>
      </c>
      <c r="B661" s="2">
        <v>660</v>
      </c>
      <c r="C661" s="37">
        <v>95271101</v>
      </c>
      <c r="D661" s="4"/>
      <c r="E661" s="43" t="s">
        <v>698</v>
      </c>
      <c r="F661" s="2">
        <v>20250731</v>
      </c>
      <c r="G661" s="2">
        <v>20250731</v>
      </c>
      <c r="H661" s="2">
        <v>20250731</v>
      </c>
      <c r="I661" s="40" t="s">
        <v>936</v>
      </c>
      <c r="M661" s="40" t="s">
        <v>559</v>
      </c>
      <c r="N661" s="42"/>
      <c r="P661" s="47">
        <v>307030</v>
      </c>
      <c r="R661" s="47" t="s">
        <v>699</v>
      </c>
    </row>
    <row r="662" spans="1:18">
      <c r="A662" s="2">
        <v>1</v>
      </c>
      <c r="B662" s="2">
        <v>661</v>
      </c>
      <c r="C662" s="37">
        <v>95271101</v>
      </c>
      <c r="D662" s="4"/>
      <c r="E662" s="43" t="s">
        <v>698</v>
      </c>
      <c r="F662" s="2">
        <v>20250731</v>
      </c>
      <c r="G662" s="2">
        <v>20250731</v>
      </c>
      <c r="H662" s="2">
        <v>20250731</v>
      </c>
      <c r="I662" s="40" t="s">
        <v>938</v>
      </c>
      <c r="M662" s="40" t="s">
        <v>216</v>
      </c>
      <c r="N662" s="42"/>
      <c r="P662" s="47">
        <v>307030</v>
      </c>
      <c r="R662" s="47" t="s">
        <v>699</v>
      </c>
    </row>
    <row r="663" spans="1:18">
      <c r="A663" s="2">
        <v>1</v>
      </c>
      <c r="B663" s="2">
        <v>662</v>
      </c>
      <c r="C663" s="37">
        <v>95271101</v>
      </c>
      <c r="D663" s="4"/>
      <c r="E663" s="43" t="s">
        <v>698</v>
      </c>
      <c r="F663" s="2">
        <v>20250731</v>
      </c>
      <c r="G663" s="2">
        <v>20250731</v>
      </c>
      <c r="H663" s="2">
        <v>20250731</v>
      </c>
      <c r="I663" s="40" t="s">
        <v>940</v>
      </c>
      <c r="M663" s="40" t="s">
        <v>560</v>
      </c>
      <c r="N663" s="42"/>
      <c r="P663" s="47">
        <v>307030</v>
      </c>
      <c r="R663" s="47" t="s">
        <v>699</v>
      </c>
    </row>
    <row r="664" spans="1:18">
      <c r="A664" s="2">
        <v>1</v>
      </c>
      <c r="B664" s="2">
        <v>663</v>
      </c>
      <c r="C664" s="37">
        <v>95271101</v>
      </c>
      <c r="D664" s="4"/>
      <c r="E664" s="43" t="s">
        <v>698</v>
      </c>
      <c r="F664" s="2">
        <v>20250731</v>
      </c>
      <c r="G664" s="2">
        <v>20250731</v>
      </c>
      <c r="H664" s="2">
        <v>20250731</v>
      </c>
      <c r="I664" s="40" t="s">
        <v>1150</v>
      </c>
      <c r="M664" s="40" t="s">
        <v>174</v>
      </c>
      <c r="N664" s="42"/>
      <c r="P664" s="47">
        <v>307030</v>
      </c>
      <c r="R664" s="47" t="s">
        <v>699</v>
      </c>
    </row>
    <row r="665" spans="1:18">
      <c r="A665" s="2">
        <v>1</v>
      </c>
      <c r="B665" s="2">
        <v>664</v>
      </c>
      <c r="C665" s="37">
        <v>95271101</v>
      </c>
      <c r="D665" s="4"/>
      <c r="E665" s="43" t="s">
        <v>698</v>
      </c>
      <c r="F665" s="2">
        <v>20250731</v>
      </c>
      <c r="G665" s="2">
        <v>20250731</v>
      </c>
      <c r="H665" s="2">
        <v>20250731</v>
      </c>
      <c r="I665" s="40" t="s">
        <v>1151</v>
      </c>
      <c r="M665" s="40" t="s">
        <v>163</v>
      </c>
      <c r="N665" s="42"/>
      <c r="P665" s="47">
        <v>307030</v>
      </c>
      <c r="R665" s="47" t="s">
        <v>699</v>
      </c>
    </row>
    <row r="666" spans="1:18">
      <c r="A666" s="2">
        <v>1</v>
      </c>
      <c r="B666" s="2">
        <v>665</v>
      </c>
      <c r="C666" s="37">
        <v>95271101</v>
      </c>
      <c r="D666" s="4"/>
      <c r="E666" s="43" t="s">
        <v>698</v>
      </c>
      <c r="F666" s="2">
        <v>20250731</v>
      </c>
      <c r="G666" s="2">
        <v>20250731</v>
      </c>
      <c r="H666" s="2">
        <v>20250731</v>
      </c>
      <c r="I666" s="40" t="s">
        <v>1152</v>
      </c>
      <c r="M666" s="40" t="s">
        <v>163</v>
      </c>
      <c r="N666" s="42"/>
      <c r="P666" s="47">
        <v>307030</v>
      </c>
      <c r="R666" s="47" t="s">
        <v>699</v>
      </c>
    </row>
    <row r="667" spans="1:18">
      <c r="A667" s="2">
        <v>1</v>
      </c>
      <c r="B667" s="2">
        <v>666</v>
      </c>
      <c r="C667" s="37">
        <v>95271101</v>
      </c>
      <c r="D667" s="4"/>
      <c r="E667" s="43" t="s">
        <v>698</v>
      </c>
      <c r="F667" s="2">
        <v>20250731</v>
      </c>
      <c r="G667" s="2">
        <v>20250731</v>
      </c>
      <c r="H667" s="2">
        <v>20250731</v>
      </c>
      <c r="I667" s="40" t="s">
        <v>930</v>
      </c>
      <c r="M667" s="40" t="s">
        <v>561</v>
      </c>
      <c r="N667" s="42"/>
      <c r="P667" s="47">
        <v>307030</v>
      </c>
      <c r="R667" s="47" t="s">
        <v>699</v>
      </c>
    </row>
    <row r="668" spans="1:18">
      <c r="A668" s="2">
        <v>1</v>
      </c>
      <c r="B668" s="2">
        <v>667</v>
      </c>
      <c r="C668" s="37">
        <v>95271101</v>
      </c>
      <c r="D668" s="4"/>
      <c r="E668" s="43" t="s">
        <v>698</v>
      </c>
      <c r="F668" s="2">
        <v>20250731</v>
      </c>
      <c r="G668" s="2">
        <v>20250731</v>
      </c>
      <c r="H668" s="2">
        <v>20250731</v>
      </c>
      <c r="I668" s="40" t="s">
        <v>928</v>
      </c>
      <c r="M668" s="40" t="s">
        <v>562</v>
      </c>
      <c r="N668" s="42"/>
      <c r="P668" s="47">
        <v>307030</v>
      </c>
      <c r="R668" s="47" t="s">
        <v>699</v>
      </c>
    </row>
    <row r="669" spans="1:18">
      <c r="A669" s="2">
        <v>1</v>
      </c>
      <c r="B669" s="2">
        <v>668</v>
      </c>
      <c r="C669" s="37">
        <v>95271101</v>
      </c>
      <c r="D669" s="4"/>
      <c r="E669" s="43" t="s">
        <v>698</v>
      </c>
      <c r="F669" s="2">
        <v>20250731</v>
      </c>
      <c r="G669" s="2">
        <v>20250731</v>
      </c>
      <c r="H669" s="2">
        <v>20250731</v>
      </c>
      <c r="I669" s="40" t="s">
        <v>934</v>
      </c>
      <c r="M669" s="40" t="s">
        <v>174</v>
      </c>
      <c r="N669" s="42"/>
      <c r="P669" s="47">
        <v>307030</v>
      </c>
      <c r="R669" s="47" t="s">
        <v>699</v>
      </c>
    </row>
    <row r="670" spans="1:18">
      <c r="A670" s="2">
        <v>1</v>
      </c>
      <c r="B670" s="2">
        <v>669</v>
      </c>
      <c r="C670" s="37">
        <v>95271101</v>
      </c>
      <c r="D670" s="4"/>
      <c r="E670" s="43" t="s">
        <v>698</v>
      </c>
      <c r="F670" s="2">
        <v>20250731</v>
      </c>
      <c r="G670" s="2">
        <v>20250731</v>
      </c>
      <c r="H670" s="2">
        <v>20250731</v>
      </c>
      <c r="I670" s="40" t="s">
        <v>935</v>
      </c>
      <c r="M670" s="40" t="s">
        <v>175</v>
      </c>
      <c r="N670" s="42"/>
      <c r="P670" s="47">
        <v>307030</v>
      </c>
      <c r="R670" s="47" t="s">
        <v>699</v>
      </c>
    </row>
    <row r="671" spans="1:18">
      <c r="A671" s="2">
        <v>1</v>
      </c>
      <c r="B671" s="2">
        <v>670</v>
      </c>
      <c r="C671" s="37">
        <v>95271101</v>
      </c>
      <c r="D671" s="4"/>
      <c r="E671" s="43" t="s">
        <v>698</v>
      </c>
      <c r="F671" s="2">
        <v>20250731</v>
      </c>
      <c r="G671" s="2">
        <v>20250731</v>
      </c>
      <c r="H671" s="2">
        <v>20250731</v>
      </c>
      <c r="I671" s="40" t="s">
        <v>939</v>
      </c>
      <c r="M671" s="40" t="s">
        <v>175</v>
      </c>
      <c r="N671" s="42"/>
      <c r="P671" s="47">
        <v>307030</v>
      </c>
      <c r="R671" s="47" t="s">
        <v>699</v>
      </c>
    </row>
    <row r="672" spans="1:18">
      <c r="A672" s="2">
        <v>1</v>
      </c>
      <c r="B672" s="2">
        <v>671</v>
      </c>
      <c r="C672" s="37">
        <v>95271101</v>
      </c>
      <c r="D672" s="4"/>
      <c r="E672" s="43" t="s">
        <v>698</v>
      </c>
      <c r="F672" s="2">
        <v>20250731</v>
      </c>
      <c r="G672" s="2">
        <v>20250731</v>
      </c>
      <c r="H672" s="2">
        <v>20250731</v>
      </c>
      <c r="I672" s="40" t="s">
        <v>941</v>
      </c>
      <c r="M672" s="40" t="s">
        <v>563</v>
      </c>
      <c r="N672" s="42"/>
      <c r="P672" s="47">
        <v>307030</v>
      </c>
      <c r="R672" s="47" t="s">
        <v>699</v>
      </c>
    </row>
    <row r="673" spans="1:18">
      <c r="A673" s="2">
        <v>1</v>
      </c>
      <c r="B673" s="2">
        <v>672</v>
      </c>
      <c r="C673" s="37">
        <v>95271101</v>
      </c>
      <c r="D673" s="4"/>
      <c r="E673" s="43" t="s">
        <v>698</v>
      </c>
      <c r="F673" s="2">
        <v>20250731</v>
      </c>
      <c r="G673" s="2">
        <v>20250731</v>
      </c>
      <c r="H673" s="2">
        <v>20250731</v>
      </c>
      <c r="I673" s="40" t="s">
        <v>948</v>
      </c>
      <c r="M673" s="40" t="s">
        <v>564</v>
      </c>
      <c r="N673" s="42"/>
      <c r="P673" s="47">
        <v>307030</v>
      </c>
      <c r="R673" s="47" t="s">
        <v>699</v>
      </c>
    </row>
    <row r="674" spans="1:18">
      <c r="A674" s="2">
        <v>1</v>
      </c>
      <c r="B674" s="2">
        <v>673</v>
      </c>
      <c r="C674" s="37">
        <v>95271101</v>
      </c>
      <c r="D674" s="4"/>
      <c r="E674" s="43" t="s">
        <v>698</v>
      </c>
      <c r="F674" s="2">
        <v>20250731</v>
      </c>
      <c r="G674" s="2">
        <v>20250731</v>
      </c>
      <c r="H674" s="2">
        <v>20250731</v>
      </c>
      <c r="I674" s="40" t="s">
        <v>972</v>
      </c>
      <c r="M674" s="40" t="s">
        <v>565</v>
      </c>
      <c r="N674" s="42"/>
      <c r="P674" s="47">
        <v>307030</v>
      </c>
      <c r="R674" s="47" t="s">
        <v>699</v>
      </c>
    </row>
    <row r="675" spans="1:18">
      <c r="A675" s="2">
        <v>1</v>
      </c>
      <c r="B675" s="2">
        <v>674</v>
      </c>
      <c r="C675" s="37">
        <v>95271101</v>
      </c>
      <c r="D675" s="4"/>
      <c r="E675" s="43" t="s">
        <v>698</v>
      </c>
      <c r="F675" s="2">
        <v>20250731</v>
      </c>
      <c r="G675" s="2">
        <v>20250731</v>
      </c>
      <c r="H675" s="2">
        <v>20250731</v>
      </c>
      <c r="I675" s="40" t="s">
        <v>945</v>
      </c>
      <c r="M675" s="40" t="s">
        <v>566</v>
      </c>
      <c r="N675" s="42"/>
      <c r="P675" s="47">
        <v>307030</v>
      </c>
      <c r="R675" s="47" t="s">
        <v>699</v>
      </c>
    </row>
    <row r="676" spans="1:18">
      <c r="A676" s="2">
        <v>1</v>
      </c>
      <c r="B676" s="2">
        <v>675</v>
      </c>
      <c r="C676" s="37">
        <v>95271101</v>
      </c>
      <c r="D676" s="4"/>
      <c r="E676" s="43" t="s">
        <v>698</v>
      </c>
      <c r="F676" s="2">
        <v>20250731</v>
      </c>
      <c r="G676" s="2">
        <v>20250731</v>
      </c>
      <c r="H676" s="2">
        <v>20250731</v>
      </c>
      <c r="I676" s="40" t="s">
        <v>949</v>
      </c>
      <c r="M676" s="40" t="s">
        <v>567</v>
      </c>
      <c r="N676" s="42"/>
      <c r="P676" s="47">
        <v>307030</v>
      </c>
      <c r="R676" s="47" t="s">
        <v>699</v>
      </c>
    </row>
    <row r="677" spans="1:18">
      <c r="A677" s="2">
        <v>1</v>
      </c>
      <c r="B677" s="2">
        <v>676</v>
      </c>
      <c r="C677" s="37">
        <v>95271101</v>
      </c>
      <c r="D677" s="4"/>
      <c r="E677" s="43" t="s">
        <v>698</v>
      </c>
      <c r="F677" s="2">
        <v>20250731</v>
      </c>
      <c r="G677" s="2">
        <v>20250731</v>
      </c>
      <c r="H677" s="2">
        <v>20250731</v>
      </c>
      <c r="I677" s="40" t="s">
        <v>959</v>
      </c>
      <c r="M677" s="40" t="s">
        <v>568</v>
      </c>
      <c r="N677" s="42"/>
      <c r="P677" s="47">
        <v>307030</v>
      </c>
      <c r="R677" s="47" t="s">
        <v>699</v>
      </c>
    </row>
    <row r="678" spans="1:18">
      <c r="A678" s="2">
        <v>1</v>
      </c>
      <c r="B678" s="2">
        <v>677</v>
      </c>
      <c r="C678" s="37">
        <v>95271101</v>
      </c>
      <c r="D678" s="4"/>
      <c r="E678" s="43" t="s">
        <v>698</v>
      </c>
      <c r="F678" s="2">
        <v>20250731</v>
      </c>
      <c r="G678" s="2">
        <v>20250731</v>
      </c>
      <c r="H678" s="2">
        <v>20250731</v>
      </c>
      <c r="I678" s="40" t="s">
        <v>964</v>
      </c>
      <c r="M678" s="40" t="s">
        <v>229</v>
      </c>
      <c r="N678" s="42"/>
      <c r="P678" s="47">
        <v>307030</v>
      </c>
      <c r="R678" s="47" t="s">
        <v>699</v>
      </c>
    </row>
    <row r="679" spans="1:18">
      <c r="A679" s="2">
        <v>1</v>
      </c>
      <c r="B679" s="2">
        <v>678</v>
      </c>
      <c r="C679" s="37">
        <v>95271101</v>
      </c>
      <c r="D679" s="4"/>
      <c r="E679" s="43" t="s">
        <v>698</v>
      </c>
      <c r="F679" s="2">
        <v>20250731</v>
      </c>
      <c r="G679" s="2">
        <v>20250731</v>
      </c>
      <c r="H679" s="2">
        <v>20250731</v>
      </c>
      <c r="I679" s="40" t="s">
        <v>973</v>
      </c>
      <c r="M679" s="40" t="s">
        <v>569</v>
      </c>
      <c r="N679" s="42"/>
      <c r="P679" s="47">
        <v>307030</v>
      </c>
      <c r="R679" s="47" t="s">
        <v>699</v>
      </c>
    </row>
    <row r="680" spans="1:18">
      <c r="A680" s="2">
        <v>1</v>
      </c>
      <c r="B680" s="2">
        <v>679</v>
      </c>
      <c r="C680" s="37">
        <v>95271101</v>
      </c>
      <c r="D680" s="4"/>
      <c r="E680" s="43" t="s">
        <v>698</v>
      </c>
      <c r="F680" s="2">
        <v>20250731</v>
      </c>
      <c r="G680" s="2">
        <v>20250731</v>
      </c>
      <c r="H680" s="2">
        <v>20250731</v>
      </c>
      <c r="I680" s="40" t="s">
        <v>974</v>
      </c>
      <c r="M680" s="40" t="s">
        <v>570</v>
      </c>
      <c r="N680" s="42"/>
      <c r="P680" s="47">
        <v>307030</v>
      </c>
      <c r="R680" s="47" t="s">
        <v>699</v>
      </c>
    </row>
    <row r="681" spans="1:18">
      <c r="A681" s="2">
        <v>1</v>
      </c>
      <c r="B681" s="2">
        <v>680</v>
      </c>
      <c r="C681" s="37">
        <v>95271101</v>
      </c>
      <c r="D681" s="4"/>
      <c r="E681" s="43" t="s">
        <v>698</v>
      </c>
      <c r="F681" s="2">
        <v>20250731</v>
      </c>
      <c r="G681" s="2">
        <v>20250731</v>
      </c>
      <c r="H681" s="2">
        <v>20250731</v>
      </c>
      <c r="I681" s="40" t="s">
        <v>951</v>
      </c>
      <c r="M681" s="40" t="s">
        <v>571</v>
      </c>
      <c r="N681" s="42"/>
      <c r="P681" s="47">
        <v>307030</v>
      </c>
      <c r="R681" s="47" t="s">
        <v>699</v>
      </c>
    </row>
    <row r="682" spans="1:18">
      <c r="A682" s="2">
        <v>1</v>
      </c>
      <c r="B682" s="2">
        <v>681</v>
      </c>
      <c r="C682" s="37">
        <v>95271101</v>
      </c>
      <c r="D682" s="4"/>
      <c r="E682" s="43" t="s">
        <v>698</v>
      </c>
      <c r="F682" s="2">
        <v>20250731</v>
      </c>
      <c r="G682" s="2">
        <v>20250731</v>
      </c>
      <c r="H682" s="2">
        <v>20250731</v>
      </c>
      <c r="I682" s="40" t="s">
        <v>961</v>
      </c>
      <c r="M682" s="40" t="s">
        <v>572</v>
      </c>
      <c r="N682" s="42"/>
      <c r="P682" s="47">
        <v>307030</v>
      </c>
      <c r="R682" s="47" t="s">
        <v>699</v>
      </c>
    </row>
    <row r="683" spans="1:18">
      <c r="A683" s="2">
        <v>1</v>
      </c>
      <c r="B683" s="2">
        <v>682</v>
      </c>
      <c r="C683" s="37">
        <v>95271101</v>
      </c>
      <c r="D683" s="4"/>
      <c r="E683" s="43" t="s">
        <v>698</v>
      </c>
      <c r="F683" s="2">
        <v>20250731</v>
      </c>
      <c r="G683" s="2">
        <v>20250731</v>
      </c>
      <c r="H683" s="2">
        <v>20250731</v>
      </c>
      <c r="I683" s="40" t="s">
        <v>943</v>
      </c>
      <c r="M683" s="40" t="s">
        <v>573</v>
      </c>
      <c r="N683" s="42"/>
      <c r="P683" s="47">
        <v>307030</v>
      </c>
      <c r="R683" s="47" t="s">
        <v>699</v>
      </c>
    </row>
    <row r="684" spans="1:18">
      <c r="A684" s="2">
        <v>1</v>
      </c>
      <c r="B684" s="2">
        <v>683</v>
      </c>
      <c r="C684" s="37">
        <v>95271101</v>
      </c>
      <c r="D684" s="4"/>
      <c r="E684" s="43" t="s">
        <v>698</v>
      </c>
      <c r="F684" s="2">
        <v>20250731</v>
      </c>
      <c r="G684" s="2">
        <v>20250731</v>
      </c>
      <c r="H684" s="2">
        <v>20250731</v>
      </c>
      <c r="I684" s="40" t="s">
        <v>946</v>
      </c>
      <c r="M684" s="40" t="s">
        <v>574</v>
      </c>
      <c r="N684" s="42"/>
      <c r="P684" s="47">
        <v>307030</v>
      </c>
      <c r="R684" s="47" t="s">
        <v>699</v>
      </c>
    </row>
    <row r="685" spans="1:18">
      <c r="A685" s="2">
        <v>1</v>
      </c>
      <c r="B685" s="2">
        <v>684</v>
      </c>
      <c r="C685" s="37">
        <v>95271101</v>
      </c>
      <c r="D685" s="4"/>
      <c r="E685" s="43" t="s">
        <v>698</v>
      </c>
      <c r="F685" s="2">
        <v>20250731</v>
      </c>
      <c r="G685" s="2">
        <v>20250731</v>
      </c>
      <c r="H685" s="2">
        <v>20250731</v>
      </c>
      <c r="I685" s="40" t="s">
        <v>952</v>
      </c>
      <c r="M685" s="40" t="s">
        <v>575</v>
      </c>
      <c r="N685" s="42"/>
      <c r="P685" s="47">
        <v>307030</v>
      </c>
      <c r="R685" s="47" t="s">
        <v>699</v>
      </c>
    </row>
    <row r="686" spans="1:18">
      <c r="A686" s="2">
        <v>1</v>
      </c>
      <c r="B686" s="2">
        <v>685</v>
      </c>
      <c r="C686" s="37">
        <v>95271101</v>
      </c>
      <c r="D686" s="4"/>
      <c r="E686" s="43" t="s">
        <v>698</v>
      </c>
      <c r="F686" s="2">
        <v>20250731</v>
      </c>
      <c r="G686" s="2">
        <v>20250731</v>
      </c>
      <c r="H686" s="2">
        <v>20250731</v>
      </c>
      <c r="I686" s="40" t="s">
        <v>953</v>
      </c>
      <c r="M686" s="40" t="s">
        <v>170</v>
      </c>
      <c r="N686" s="42"/>
      <c r="P686" s="47">
        <v>307030</v>
      </c>
      <c r="R686" s="47" t="s">
        <v>699</v>
      </c>
    </row>
    <row r="687" spans="1:18">
      <c r="A687" s="2">
        <v>1</v>
      </c>
      <c r="B687" s="2">
        <v>686</v>
      </c>
      <c r="C687" s="37">
        <v>95271101</v>
      </c>
      <c r="D687" s="4"/>
      <c r="E687" s="43" t="s">
        <v>698</v>
      </c>
      <c r="F687" s="2">
        <v>20250731</v>
      </c>
      <c r="G687" s="2">
        <v>20250731</v>
      </c>
      <c r="H687" s="2">
        <v>20250731</v>
      </c>
      <c r="I687" s="40" t="s">
        <v>954</v>
      </c>
      <c r="M687" s="40" t="s">
        <v>576</v>
      </c>
      <c r="N687" s="42"/>
      <c r="P687" s="47">
        <v>307030</v>
      </c>
      <c r="R687" s="47" t="s">
        <v>699</v>
      </c>
    </row>
    <row r="688" spans="1:18">
      <c r="A688" s="2">
        <v>1</v>
      </c>
      <c r="B688" s="2">
        <v>687</v>
      </c>
      <c r="C688" s="37">
        <v>95271101</v>
      </c>
      <c r="D688" s="4"/>
      <c r="E688" s="43" t="s">
        <v>698</v>
      </c>
      <c r="F688" s="2">
        <v>20250731</v>
      </c>
      <c r="G688" s="2">
        <v>20250731</v>
      </c>
      <c r="H688" s="2">
        <v>20250731</v>
      </c>
      <c r="I688" s="40" t="s">
        <v>955</v>
      </c>
      <c r="M688" s="40" t="s">
        <v>577</v>
      </c>
      <c r="N688" s="42"/>
      <c r="P688" s="47">
        <v>307030</v>
      </c>
      <c r="R688" s="47" t="s">
        <v>699</v>
      </c>
    </row>
    <row r="689" spans="1:18">
      <c r="A689" s="2">
        <v>1</v>
      </c>
      <c r="B689" s="2">
        <v>688</v>
      </c>
      <c r="C689" s="37">
        <v>95271101</v>
      </c>
      <c r="D689" s="4"/>
      <c r="E689" s="43" t="s">
        <v>698</v>
      </c>
      <c r="F689" s="2">
        <v>20250731</v>
      </c>
      <c r="G689" s="2">
        <v>20250731</v>
      </c>
      <c r="H689" s="2">
        <v>20250731</v>
      </c>
      <c r="I689" s="40" t="s">
        <v>958</v>
      </c>
      <c r="M689" s="40" t="s">
        <v>578</v>
      </c>
      <c r="N689" s="42"/>
      <c r="P689" s="47">
        <v>307030</v>
      </c>
      <c r="R689" s="47" t="s">
        <v>699</v>
      </c>
    </row>
    <row r="690" spans="1:18">
      <c r="A690" s="2">
        <v>1</v>
      </c>
      <c r="B690" s="2">
        <v>689</v>
      </c>
      <c r="C690" s="37">
        <v>95271101</v>
      </c>
      <c r="D690" s="4"/>
      <c r="E690" s="43" t="s">
        <v>698</v>
      </c>
      <c r="F690" s="2">
        <v>20250731</v>
      </c>
      <c r="G690" s="2">
        <v>20250731</v>
      </c>
      <c r="H690" s="2">
        <v>20250731</v>
      </c>
      <c r="I690" s="40" t="s">
        <v>965</v>
      </c>
      <c r="M690" s="40" t="s">
        <v>579</v>
      </c>
      <c r="N690" s="42"/>
      <c r="P690" s="47">
        <v>307030</v>
      </c>
      <c r="R690" s="47" t="s">
        <v>699</v>
      </c>
    </row>
    <row r="691" spans="1:18">
      <c r="A691" s="2">
        <v>1</v>
      </c>
      <c r="B691" s="2">
        <v>690</v>
      </c>
      <c r="C691" s="37">
        <v>95271101</v>
      </c>
      <c r="D691" s="4"/>
      <c r="E691" s="43" t="s">
        <v>698</v>
      </c>
      <c r="F691" s="2">
        <v>20250731</v>
      </c>
      <c r="G691" s="2">
        <v>20250731</v>
      </c>
      <c r="H691" s="2">
        <v>20250731</v>
      </c>
      <c r="I691" s="40" t="s">
        <v>957</v>
      </c>
      <c r="M691" s="40" t="s">
        <v>571</v>
      </c>
      <c r="N691" s="42"/>
      <c r="P691" s="47">
        <v>307030</v>
      </c>
      <c r="R691" s="47" t="s">
        <v>699</v>
      </c>
    </row>
    <row r="692" spans="1:18">
      <c r="A692" s="2">
        <v>1</v>
      </c>
      <c r="B692" s="2">
        <v>691</v>
      </c>
      <c r="C692" s="37">
        <v>95271101</v>
      </c>
      <c r="D692" s="4"/>
      <c r="E692" s="43" t="s">
        <v>698</v>
      </c>
      <c r="F692" s="2">
        <v>20250731</v>
      </c>
      <c r="G692" s="2">
        <v>20250731</v>
      </c>
      <c r="H692" s="2">
        <v>20250731</v>
      </c>
      <c r="I692" s="40" t="s">
        <v>960</v>
      </c>
      <c r="M692" s="40" t="s">
        <v>580</v>
      </c>
      <c r="N692" s="42"/>
      <c r="P692" s="47">
        <v>307030</v>
      </c>
      <c r="R692" s="47" t="s">
        <v>699</v>
      </c>
    </row>
    <row r="693" spans="1:18">
      <c r="A693" s="2">
        <v>1</v>
      </c>
      <c r="B693" s="2">
        <v>692</v>
      </c>
      <c r="C693" s="37">
        <v>95271101</v>
      </c>
      <c r="D693" s="4"/>
      <c r="E693" s="43" t="s">
        <v>698</v>
      </c>
      <c r="F693" s="2">
        <v>20250731</v>
      </c>
      <c r="G693" s="2">
        <v>20250731</v>
      </c>
      <c r="H693" s="2">
        <v>20250731</v>
      </c>
      <c r="I693" s="40" t="s">
        <v>969</v>
      </c>
      <c r="M693" s="40" t="s">
        <v>581</v>
      </c>
      <c r="N693" s="42"/>
      <c r="P693" s="47">
        <v>307030</v>
      </c>
      <c r="R693" s="47" t="s">
        <v>699</v>
      </c>
    </row>
    <row r="694" spans="1:18">
      <c r="A694" s="2">
        <v>1</v>
      </c>
      <c r="B694" s="2">
        <v>693</v>
      </c>
      <c r="C694" s="37">
        <v>95271101</v>
      </c>
      <c r="D694" s="4"/>
      <c r="E694" s="43" t="s">
        <v>698</v>
      </c>
      <c r="F694" s="2">
        <v>20250731</v>
      </c>
      <c r="G694" s="2">
        <v>20250731</v>
      </c>
      <c r="H694" s="2">
        <v>20250731</v>
      </c>
      <c r="I694" s="40" t="s">
        <v>942</v>
      </c>
      <c r="M694" s="40" t="s">
        <v>582</v>
      </c>
      <c r="N694" s="42"/>
      <c r="P694" s="47">
        <v>307030</v>
      </c>
      <c r="R694" s="47" t="s">
        <v>699</v>
      </c>
    </row>
    <row r="695" spans="1:18">
      <c r="A695" s="2">
        <v>1</v>
      </c>
      <c r="B695" s="2">
        <v>694</v>
      </c>
      <c r="C695" s="37">
        <v>95271101</v>
      </c>
      <c r="D695" s="4"/>
      <c r="E695" s="43" t="s">
        <v>698</v>
      </c>
      <c r="F695" s="2">
        <v>20250731</v>
      </c>
      <c r="G695" s="2">
        <v>20250731</v>
      </c>
      <c r="H695" s="2">
        <v>20250731</v>
      </c>
      <c r="I695" s="40" t="s">
        <v>962</v>
      </c>
      <c r="M695" s="40" t="s">
        <v>583</v>
      </c>
      <c r="N695" s="42"/>
      <c r="P695" s="47">
        <v>307030</v>
      </c>
      <c r="R695" s="47" t="s">
        <v>699</v>
      </c>
    </row>
    <row r="696" spans="1:18">
      <c r="A696" s="2">
        <v>1</v>
      </c>
      <c r="B696" s="2">
        <v>695</v>
      </c>
      <c r="C696" s="37">
        <v>95271101</v>
      </c>
      <c r="D696" s="4"/>
      <c r="E696" s="43" t="s">
        <v>698</v>
      </c>
      <c r="F696" s="2">
        <v>20250731</v>
      </c>
      <c r="G696" s="2">
        <v>20250731</v>
      </c>
      <c r="H696" s="2">
        <v>20250731</v>
      </c>
      <c r="I696" s="40" t="s">
        <v>967</v>
      </c>
      <c r="M696" s="40" t="s">
        <v>584</v>
      </c>
      <c r="N696" s="42"/>
      <c r="P696" s="47">
        <v>307030</v>
      </c>
      <c r="R696" s="47" t="s">
        <v>699</v>
      </c>
    </row>
    <row r="697" spans="1:18">
      <c r="A697" s="2">
        <v>1</v>
      </c>
      <c r="B697" s="2">
        <v>696</v>
      </c>
      <c r="C697" s="37">
        <v>95271101</v>
      </c>
      <c r="D697" s="4"/>
      <c r="E697" s="43" t="s">
        <v>698</v>
      </c>
      <c r="F697" s="2">
        <v>20250731</v>
      </c>
      <c r="G697" s="2">
        <v>20250731</v>
      </c>
      <c r="H697" s="2">
        <v>20250731</v>
      </c>
      <c r="I697" s="40" t="s">
        <v>1153</v>
      </c>
      <c r="M697" s="40" t="s">
        <v>585</v>
      </c>
      <c r="N697" s="42"/>
      <c r="P697" s="47">
        <v>307030</v>
      </c>
      <c r="R697" s="47" t="s">
        <v>699</v>
      </c>
    </row>
    <row r="698" spans="1:18">
      <c r="A698" s="2">
        <v>1</v>
      </c>
      <c r="B698" s="2">
        <v>697</v>
      </c>
      <c r="C698" s="37">
        <v>95271101</v>
      </c>
      <c r="D698" s="4"/>
      <c r="E698" s="43" t="s">
        <v>698</v>
      </c>
      <c r="F698" s="2">
        <v>20250731</v>
      </c>
      <c r="G698" s="2">
        <v>20250731</v>
      </c>
      <c r="H698" s="2">
        <v>20250731</v>
      </c>
      <c r="I698" s="40" t="s">
        <v>732</v>
      </c>
      <c r="M698" s="40" t="s">
        <v>267</v>
      </c>
      <c r="N698" s="42"/>
      <c r="P698" s="47">
        <v>307030</v>
      </c>
      <c r="R698" s="47" t="s">
        <v>699</v>
      </c>
    </row>
    <row r="699" spans="1:18">
      <c r="A699" s="2">
        <v>1</v>
      </c>
      <c r="B699" s="2">
        <v>698</v>
      </c>
      <c r="C699" s="37">
        <v>95271101</v>
      </c>
      <c r="D699" s="4"/>
      <c r="E699" s="43" t="s">
        <v>698</v>
      </c>
      <c r="F699" s="2">
        <v>20250731</v>
      </c>
      <c r="G699" s="2">
        <v>20250731</v>
      </c>
      <c r="H699" s="2">
        <v>20250731</v>
      </c>
      <c r="I699" s="40" t="s">
        <v>971</v>
      </c>
      <c r="M699" s="40" t="s">
        <v>242</v>
      </c>
      <c r="N699" s="42"/>
      <c r="P699" s="47">
        <v>307030</v>
      </c>
      <c r="R699" s="47" t="s">
        <v>699</v>
      </c>
    </row>
    <row r="700" spans="1:18">
      <c r="A700" s="2">
        <v>1</v>
      </c>
      <c r="B700" s="2">
        <v>699</v>
      </c>
      <c r="C700" s="37">
        <v>95271101</v>
      </c>
      <c r="D700" s="4"/>
      <c r="E700" s="43" t="s">
        <v>698</v>
      </c>
      <c r="F700" s="2">
        <v>20250731</v>
      </c>
      <c r="G700" s="2">
        <v>20250731</v>
      </c>
      <c r="H700" s="2">
        <v>20250731</v>
      </c>
      <c r="I700" s="40" t="s">
        <v>975</v>
      </c>
      <c r="M700" s="40" t="s">
        <v>242</v>
      </c>
      <c r="N700" s="42"/>
      <c r="P700" s="47">
        <v>307030</v>
      </c>
      <c r="R700" s="47" t="s">
        <v>699</v>
      </c>
    </row>
    <row r="701" spans="1:18">
      <c r="A701" s="2">
        <v>1</v>
      </c>
      <c r="B701" s="2">
        <v>700</v>
      </c>
      <c r="C701" s="37">
        <v>95271101</v>
      </c>
      <c r="D701" s="4"/>
      <c r="E701" s="43" t="s">
        <v>698</v>
      </c>
      <c r="F701" s="2">
        <v>20250731</v>
      </c>
      <c r="G701" s="2">
        <v>20250731</v>
      </c>
      <c r="H701" s="2">
        <v>20250731</v>
      </c>
      <c r="I701" s="40" t="s">
        <v>733</v>
      </c>
      <c r="M701" s="40" t="s">
        <v>586</v>
      </c>
      <c r="N701" s="42"/>
      <c r="P701" s="47">
        <v>307030</v>
      </c>
      <c r="R701" s="47" t="s">
        <v>699</v>
      </c>
    </row>
    <row r="702" spans="1:18">
      <c r="A702" s="2">
        <v>1</v>
      </c>
      <c r="B702" s="2">
        <v>701</v>
      </c>
      <c r="C702" s="37">
        <v>95271101</v>
      </c>
      <c r="D702" s="4"/>
      <c r="E702" s="43" t="s">
        <v>698</v>
      </c>
      <c r="F702" s="2">
        <v>20250731</v>
      </c>
      <c r="G702" s="2">
        <v>20250731</v>
      </c>
      <c r="H702" s="2">
        <v>20250731</v>
      </c>
      <c r="I702" s="40" t="s">
        <v>981</v>
      </c>
      <c r="M702" s="40" t="s">
        <v>587</v>
      </c>
      <c r="N702" s="42"/>
      <c r="P702" s="47">
        <v>307030</v>
      </c>
      <c r="R702" s="47" t="s">
        <v>699</v>
      </c>
    </row>
    <row r="703" spans="1:18">
      <c r="A703" s="2">
        <v>1</v>
      </c>
      <c r="B703" s="2">
        <v>702</v>
      </c>
      <c r="C703" s="37">
        <v>95271101</v>
      </c>
      <c r="D703" s="4"/>
      <c r="E703" s="43" t="s">
        <v>698</v>
      </c>
      <c r="F703" s="2">
        <v>20250731</v>
      </c>
      <c r="G703" s="2">
        <v>20250731</v>
      </c>
      <c r="H703" s="2">
        <v>20250731</v>
      </c>
      <c r="I703" s="40" t="s">
        <v>982</v>
      </c>
      <c r="M703" s="40" t="s">
        <v>588</v>
      </c>
      <c r="N703" s="42"/>
      <c r="P703" s="47">
        <v>307030</v>
      </c>
      <c r="R703" s="47" t="s">
        <v>699</v>
      </c>
    </row>
    <row r="704" spans="1:18">
      <c r="A704" s="2">
        <v>1</v>
      </c>
      <c r="B704" s="2">
        <v>703</v>
      </c>
      <c r="C704" s="37">
        <v>95271101</v>
      </c>
      <c r="D704" s="4"/>
      <c r="E704" s="43" t="s">
        <v>698</v>
      </c>
      <c r="F704" s="2">
        <v>20250731</v>
      </c>
      <c r="G704" s="2">
        <v>20250731</v>
      </c>
      <c r="H704" s="2">
        <v>20250731</v>
      </c>
      <c r="I704" s="40" t="s">
        <v>989</v>
      </c>
      <c r="M704" s="40" t="s">
        <v>589</v>
      </c>
      <c r="N704" s="42"/>
      <c r="P704" s="47">
        <v>307030</v>
      </c>
      <c r="R704" s="47" t="s">
        <v>699</v>
      </c>
    </row>
    <row r="705" spans="1:18">
      <c r="A705" s="2">
        <v>1</v>
      </c>
      <c r="B705" s="2">
        <v>704</v>
      </c>
      <c r="C705" s="37">
        <v>95271101</v>
      </c>
      <c r="D705" s="4"/>
      <c r="E705" s="43" t="s">
        <v>698</v>
      </c>
      <c r="F705" s="2">
        <v>20250731</v>
      </c>
      <c r="G705" s="2">
        <v>20250731</v>
      </c>
      <c r="H705" s="2">
        <v>20250731</v>
      </c>
      <c r="I705" s="40" t="s">
        <v>990</v>
      </c>
      <c r="M705" s="40" t="s">
        <v>590</v>
      </c>
      <c r="N705" s="42"/>
      <c r="P705" s="47">
        <v>307030</v>
      </c>
      <c r="R705" s="47" t="s">
        <v>699</v>
      </c>
    </row>
    <row r="706" spans="1:18">
      <c r="A706" s="2">
        <v>1</v>
      </c>
      <c r="B706" s="2">
        <v>705</v>
      </c>
      <c r="C706" s="37">
        <v>95271101</v>
      </c>
      <c r="D706" s="4"/>
      <c r="E706" s="43" t="s">
        <v>698</v>
      </c>
      <c r="F706" s="2">
        <v>20250731</v>
      </c>
      <c r="G706" s="2">
        <v>20250731</v>
      </c>
      <c r="H706" s="2">
        <v>20250731</v>
      </c>
      <c r="I706" s="40" t="s">
        <v>1000</v>
      </c>
      <c r="M706" s="40" t="s">
        <v>591</v>
      </c>
      <c r="N706" s="42"/>
      <c r="P706" s="47">
        <v>307030</v>
      </c>
      <c r="R706" s="47" t="s">
        <v>699</v>
      </c>
    </row>
    <row r="707" spans="1:18">
      <c r="A707" s="2">
        <v>1</v>
      </c>
      <c r="B707" s="2">
        <v>706</v>
      </c>
      <c r="C707" s="37">
        <v>95271101</v>
      </c>
      <c r="D707" s="4"/>
      <c r="E707" s="43" t="s">
        <v>698</v>
      </c>
      <c r="F707" s="2">
        <v>20250731</v>
      </c>
      <c r="G707" s="2">
        <v>20250731</v>
      </c>
      <c r="H707" s="2">
        <v>20250731</v>
      </c>
      <c r="I707" s="40" t="s">
        <v>1004</v>
      </c>
      <c r="M707" s="40" t="s">
        <v>592</v>
      </c>
      <c r="N707" s="42"/>
      <c r="P707" s="47">
        <v>307030</v>
      </c>
      <c r="R707" s="47" t="s">
        <v>699</v>
      </c>
    </row>
    <row r="708" spans="1:18">
      <c r="A708" s="2">
        <v>1</v>
      </c>
      <c r="B708" s="2">
        <v>707</v>
      </c>
      <c r="C708" s="37">
        <v>95271101</v>
      </c>
      <c r="D708" s="4"/>
      <c r="E708" s="43" t="s">
        <v>698</v>
      </c>
      <c r="F708" s="2">
        <v>20250731</v>
      </c>
      <c r="G708" s="2">
        <v>20250731</v>
      </c>
      <c r="H708" s="2">
        <v>20250731</v>
      </c>
      <c r="I708" s="40" t="s">
        <v>737</v>
      </c>
      <c r="M708" s="40" t="s">
        <v>593</v>
      </c>
      <c r="N708" s="42"/>
      <c r="P708" s="47">
        <v>307030</v>
      </c>
      <c r="R708" s="47" t="s">
        <v>699</v>
      </c>
    </row>
    <row r="709" spans="1:18">
      <c r="A709" s="2">
        <v>1</v>
      </c>
      <c r="B709" s="2">
        <v>708</v>
      </c>
      <c r="C709" s="37">
        <v>95271101</v>
      </c>
      <c r="D709" s="4"/>
      <c r="E709" s="43" t="s">
        <v>698</v>
      </c>
      <c r="F709" s="2">
        <v>20250731</v>
      </c>
      <c r="G709" s="2">
        <v>20250731</v>
      </c>
      <c r="H709" s="2">
        <v>20250731</v>
      </c>
      <c r="I709" s="40" t="s">
        <v>744</v>
      </c>
      <c r="M709" s="40" t="s">
        <v>594</v>
      </c>
      <c r="N709" s="42"/>
      <c r="P709" s="47">
        <v>307030</v>
      </c>
      <c r="R709" s="47" t="s">
        <v>699</v>
      </c>
    </row>
    <row r="710" spans="1:18">
      <c r="A710" s="2">
        <v>1</v>
      </c>
      <c r="B710" s="2">
        <v>709</v>
      </c>
      <c r="C710" s="37">
        <v>95271101</v>
      </c>
      <c r="D710" s="4"/>
      <c r="E710" s="43" t="s">
        <v>698</v>
      </c>
      <c r="F710" s="2">
        <v>20250731</v>
      </c>
      <c r="G710" s="2">
        <v>20250731</v>
      </c>
      <c r="H710" s="2">
        <v>20250731</v>
      </c>
      <c r="I710" s="40" t="s">
        <v>988</v>
      </c>
      <c r="M710" s="40" t="s">
        <v>492</v>
      </c>
      <c r="N710" s="42"/>
      <c r="P710" s="47">
        <v>307030</v>
      </c>
      <c r="R710" s="47" t="s">
        <v>699</v>
      </c>
    </row>
    <row r="711" spans="1:18">
      <c r="A711" s="2">
        <v>1</v>
      </c>
      <c r="B711" s="2">
        <v>710</v>
      </c>
      <c r="C711" s="37">
        <v>95271101</v>
      </c>
      <c r="D711" s="4"/>
      <c r="E711" s="43" t="s">
        <v>698</v>
      </c>
      <c r="F711" s="2">
        <v>20250731</v>
      </c>
      <c r="G711" s="2">
        <v>20250731</v>
      </c>
      <c r="H711" s="2">
        <v>20250731</v>
      </c>
      <c r="I711" s="40" t="s">
        <v>994</v>
      </c>
      <c r="M711" s="40" t="s">
        <v>595</v>
      </c>
      <c r="N711" s="42"/>
      <c r="P711" s="47">
        <v>307030</v>
      </c>
      <c r="R711" s="47" t="s">
        <v>699</v>
      </c>
    </row>
    <row r="712" spans="1:18">
      <c r="A712" s="2">
        <v>1</v>
      </c>
      <c r="B712" s="2">
        <v>711</v>
      </c>
      <c r="C712" s="37">
        <v>95271101</v>
      </c>
      <c r="D712" s="4"/>
      <c r="E712" s="43" t="s">
        <v>698</v>
      </c>
      <c r="F712" s="2">
        <v>20250731</v>
      </c>
      <c r="G712" s="2">
        <v>20250731</v>
      </c>
      <c r="H712" s="2">
        <v>20250731</v>
      </c>
      <c r="I712" s="40" t="s">
        <v>1157</v>
      </c>
      <c r="M712" s="40" t="s">
        <v>596</v>
      </c>
      <c r="N712" s="42"/>
      <c r="P712" s="47">
        <v>307030</v>
      </c>
      <c r="R712" s="47" t="s">
        <v>699</v>
      </c>
    </row>
    <row r="713" spans="1:18">
      <c r="A713" s="2">
        <v>1</v>
      </c>
      <c r="B713" s="2">
        <v>712</v>
      </c>
      <c r="C713" s="37">
        <v>95271101</v>
      </c>
      <c r="D713" s="4"/>
      <c r="E713" s="43" t="s">
        <v>698</v>
      </c>
      <c r="F713" s="2">
        <v>20250731</v>
      </c>
      <c r="G713" s="2">
        <v>20250731</v>
      </c>
      <c r="H713" s="2">
        <v>20250731</v>
      </c>
      <c r="I713" s="40" t="s">
        <v>1009</v>
      </c>
      <c r="M713" s="40" t="s">
        <v>165</v>
      </c>
      <c r="N713" s="42"/>
      <c r="P713" s="47">
        <v>307030</v>
      </c>
      <c r="R713" s="47" t="s">
        <v>699</v>
      </c>
    </row>
    <row r="714" spans="1:18">
      <c r="A714" s="2">
        <v>1</v>
      </c>
      <c r="B714" s="2">
        <v>713</v>
      </c>
      <c r="C714" s="37">
        <v>95271101</v>
      </c>
      <c r="D714" s="4"/>
      <c r="E714" s="43" t="s">
        <v>698</v>
      </c>
      <c r="F714" s="2">
        <v>20250731</v>
      </c>
      <c r="G714" s="2">
        <v>20250731</v>
      </c>
      <c r="H714" s="2">
        <v>20250731</v>
      </c>
      <c r="I714" s="40" t="s">
        <v>1006</v>
      </c>
      <c r="M714" s="40" t="s">
        <v>245</v>
      </c>
      <c r="N714" s="42"/>
      <c r="P714" s="47">
        <v>307030</v>
      </c>
      <c r="R714" s="47" t="s">
        <v>699</v>
      </c>
    </row>
    <row r="715" spans="1:18">
      <c r="A715" s="2">
        <v>1</v>
      </c>
      <c r="B715" s="2">
        <v>714</v>
      </c>
      <c r="C715" s="37">
        <v>95271101</v>
      </c>
      <c r="D715" s="4"/>
      <c r="E715" s="43" t="s">
        <v>698</v>
      </c>
      <c r="F715" s="2">
        <v>20250731</v>
      </c>
      <c r="G715" s="2">
        <v>20250731</v>
      </c>
      <c r="H715" s="2">
        <v>20250731</v>
      </c>
      <c r="I715" s="40" t="s">
        <v>734</v>
      </c>
      <c r="M715" s="40" t="s">
        <v>597</v>
      </c>
      <c r="N715" s="42"/>
      <c r="P715" s="47">
        <v>307030</v>
      </c>
      <c r="R715" s="47" t="s">
        <v>699</v>
      </c>
    </row>
    <row r="716" spans="1:18">
      <c r="A716" s="2">
        <v>1</v>
      </c>
      <c r="B716" s="2">
        <v>715</v>
      </c>
      <c r="C716" s="37">
        <v>95271101</v>
      </c>
      <c r="D716" s="4"/>
      <c r="E716" s="43" t="s">
        <v>698</v>
      </c>
      <c r="F716" s="2">
        <v>20250731</v>
      </c>
      <c r="G716" s="2">
        <v>20250731</v>
      </c>
      <c r="H716" s="2">
        <v>20250731</v>
      </c>
      <c r="I716" s="40" t="s">
        <v>978</v>
      </c>
      <c r="M716" s="40" t="s">
        <v>598</v>
      </c>
      <c r="N716" s="42"/>
      <c r="P716" s="47">
        <v>307030</v>
      </c>
      <c r="R716" s="47" t="s">
        <v>699</v>
      </c>
    </row>
    <row r="717" spans="1:18">
      <c r="A717" s="2">
        <v>1</v>
      </c>
      <c r="B717" s="2">
        <v>716</v>
      </c>
      <c r="C717" s="37">
        <v>95271101</v>
      </c>
      <c r="D717" s="4"/>
      <c r="E717" s="43" t="s">
        <v>698</v>
      </c>
      <c r="F717" s="2">
        <v>20250731</v>
      </c>
      <c r="G717" s="2">
        <v>20250731</v>
      </c>
      <c r="H717" s="2">
        <v>20250731</v>
      </c>
      <c r="I717" s="40" t="s">
        <v>979</v>
      </c>
      <c r="M717" s="40" t="s">
        <v>599</v>
      </c>
      <c r="N717" s="42"/>
      <c r="P717" s="47">
        <v>307030</v>
      </c>
      <c r="R717" s="47" t="s">
        <v>699</v>
      </c>
    </row>
    <row r="718" spans="1:18">
      <c r="A718" s="2">
        <v>1</v>
      </c>
      <c r="B718" s="2">
        <v>717</v>
      </c>
      <c r="C718" s="37">
        <v>95271101</v>
      </c>
      <c r="D718" s="4"/>
      <c r="E718" s="43" t="s">
        <v>698</v>
      </c>
      <c r="F718" s="2">
        <v>20250731</v>
      </c>
      <c r="G718" s="2">
        <v>20250731</v>
      </c>
      <c r="H718" s="2">
        <v>20250731</v>
      </c>
      <c r="I718" s="40" t="s">
        <v>984</v>
      </c>
      <c r="M718" s="40" t="s">
        <v>600</v>
      </c>
      <c r="N718" s="42"/>
      <c r="P718" s="47">
        <v>307030</v>
      </c>
      <c r="R718" s="47" t="s">
        <v>699</v>
      </c>
    </row>
    <row r="719" spans="1:18">
      <c r="A719" s="2">
        <v>1</v>
      </c>
      <c r="B719" s="2">
        <v>718</v>
      </c>
      <c r="C719" s="37">
        <v>95271101</v>
      </c>
      <c r="D719" s="4"/>
      <c r="E719" s="43" t="s">
        <v>698</v>
      </c>
      <c r="F719" s="2">
        <v>20250731</v>
      </c>
      <c r="G719" s="2">
        <v>20250731</v>
      </c>
      <c r="H719" s="2">
        <v>20250731</v>
      </c>
      <c r="I719" s="40" t="s">
        <v>747</v>
      </c>
      <c r="M719" s="40" t="s">
        <v>601</v>
      </c>
      <c r="N719" s="42"/>
      <c r="P719" s="47">
        <v>307030</v>
      </c>
      <c r="R719" s="47" t="s">
        <v>699</v>
      </c>
    </row>
    <row r="720" spans="1:18">
      <c r="A720" s="2">
        <v>1</v>
      </c>
      <c r="B720" s="2">
        <v>719</v>
      </c>
      <c r="C720" s="37">
        <v>95271101</v>
      </c>
      <c r="D720" s="4"/>
      <c r="E720" s="43" t="s">
        <v>698</v>
      </c>
      <c r="F720" s="2">
        <v>20250731</v>
      </c>
      <c r="G720" s="2">
        <v>20250731</v>
      </c>
      <c r="H720" s="2">
        <v>20250731</v>
      </c>
      <c r="I720" s="40" t="s">
        <v>736</v>
      </c>
      <c r="M720" s="40" t="s">
        <v>602</v>
      </c>
      <c r="N720" s="42"/>
      <c r="P720" s="47">
        <v>307030</v>
      </c>
      <c r="R720" s="47" t="s">
        <v>699</v>
      </c>
    </row>
    <row r="721" spans="1:18">
      <c r="A721" s="2">
        <v>1</v>
      </c>
      <c r="B721" s="2">
        <v>720</v>
      </c>
      <c r="C721" s="37">
        <v>95271101</v>
      </c>
      <c r="D721" s="4"/>
      <c r="E721" s="43" t="s">
        <v>698</v>
      </c>
      <c r="F721" s="2">
        <v>20250731</v>
      </c>
      <c r="G721" s="2">
        <v>20250731</v>
      </c>
      <c r="H721" s="2">
        <v>20250731</v>
      </c>
      <c r="I721" s="40" t="s">
        <v>1158</v>
      </c>
      <c r="M721" s="40" t="s">
        <v>603</v>
      </c>
      <c r="N721" s="42"/>
      <c r="P721" s="47">
        <v>307030</v>
      </c>
      <c r="R721" s="47" t="s">
        <v>699</v>
      </c>
    </row>
    <row r="722" spans="1:18">
      <c r="A722" s="2">
        <v>1</v>
      </c>
      <c r="B722" s="2">
        <v>721</v>
      </c>
      <c r="C722" s="37">
        <v>95271101</v>
      </c>
      <c r="D722" s="4"/>
      <c r="E722" s="43" t="s">
        <v>698</v>
      </c>
      <c r="F722" s="2">
        <v>20250731</v>
      </c>
      <c r="G722" s="2">
        <v>20250731</v>
      </c>
      <c r="H722" s="2">
        <v>20250731</v>
      </c>
      <c r="I722" s="40" t="s">
        <v>1124</v>
      </c>
      <c r="M722" s="40" t="s">
        <v>604</v>
      </c>
      <c r="N722" s="42"/>
      <c r="P722" s="47">
        <v>307030</v>
      </c>
      <c r="R722" s="47" t="s">
        <v>699</v>
      </c>
    </row>
    <row r="723" spans="1:18">
      <c r="A723" s="2">
        <v>1</v>
      </c>
      <c r="B723" s="2">
        <v>722</v>
      </c>
      <c r="C723" s="37">
        <v>95271101</v>
      </c>
      <c r="D723" s="4"/>
      <c r="E723" s="43" t="s">
        <v>698</v>
      </c>
      <c r="F723" s="2">
        <v>20250731</v>
      </c>
      <c r="G723" s="2">
        <v>20250731</v>
      </c>
      <c r="H723" s="2">
        <v>20250731</v>
      </c>
      <c r="I723" s="40" t="s">
        <v>991</v>
      </c>
      <c r="M723" s="40" t="s">
        <v>503</v>
      </c>
      <c r="N723" s="42"/>
      <c r="P723" s="47">
        <v>307030</v>
      </c>
      <c r="R723" s="47" t="s">
        <v>699</v>
      </c>
    </row>
    <row r="724" spans="1:18">
      <c r="A724" s="2">
        <v>1</v>
      </c>
      <c r="B724" s="2">
        <v>723</v>
      </c>
      <c r="C724" s="37">
        <v>95271101</v>
      </c>
      <c r="D724" s="4"/>
      <c r="E724" s="43" t="s">
        <v>698</v>
      </c>
      <c r="F724" s="2">
        <v>20250731</v>
      </c>
      <c r="G724" s="2">
        <v>20250731</v>
      </c>
      <c r="H724" s="2">
        <v>20250731</v>
      </c>
      <c r="I724" s="40" t="s">
        <v>992</v>
      </c>
      <c r="M724" s="40" t="s">
        <v>165</v>
      </c>
      <c r="N724" s="42"/>
      <c r="P724" s="47">
        <v>307030</v>
      </c>
      <c r="R724" s="47" t="s">
        <v>699</v>
      </c>
    </row>
    <row r="725" spans="1:18">
      <c r="A725" s="2">
        <v>1</v>
      </c>
      <c r="B725" s="2">
        <v>724</v>
      </c>
      <c r="C725" s="37">
        <v>95271101</v>
      </c>
      <c r="D725" s="4"/>
      <c r="E725" s="43" t="s">
        <v>698</v>
      </c>
      <c r="F725" s="2">
        <v>20250731</v>
      </c>
      <c r="G725" s="2">
        <v>20250731</v>
      </c>
      <c r="H725" s="2">
        <v>20250731</v>
      </c>
      <c r="I725" s="40" t="s">
        <v>997</v>
      </c>
      <c r="M725" s="40" t="s">
        <v>605</v>
      </c>
      <c r="N725" s="42"/>
      <c r="P725" s="47">
        <v>307030</v>
      </c>
      <c r="R725" s="47" t="s">
        <v>699</v>
      </c>
    </row>
    <row r="726" spans="1:18">
      <c r="A726" s="2">
        <v>1</v>
      </c>
      <c r="B726" s="2">
        <v>725</v>
      </c>
      <c r="C726" s="37">
        <v>95271101</v>
      </c>
      <c r="D726" s="4"/>
      <c r="E726" s="43" t="s">
        <v>698</v>
      </c>
      <c r="F726" s="2">
        <v>20250731</v>
      </c>
      <c r="G726" s="2">
        <v>20250731</v>
      </c>
      <c r="H726" s="2">
        <v>20250731</v>
      </c>
      <c r="I726" s="40" t="s">
        <v>1001</v>
      </c>
      <c r="M726" s="40" t="s">
        <v>597</v>
      </c>
      <c r="N726" s="42"/>
      <c r="P726" s="47">
        <v>307030</v>
      </c>
      <c r="R726" s="47" t="s">
        <v>699</v>
      </c>
    </row>
    <row r="727" spans="1:18">
      <c r="A727" s="2">
        <v>1</v>
      </c>
      <c r="B727" s="2">
        <v>726</v>
      </c>
      <c r="C727" s="37">
        <v>95271101</v>
      </c>
      <c r="D727" s="4"/>
      <c r="E727" s="43" t="s">
        <v>698</v>
      </c>
      <c r="F727" s="2">
        <v>20250731</v>
      </c>
      <c r="G727" s="2">
        <v>20250731</v>
      </c>
      <c r="H727" s="2">
        <v>20250731</v>
      </c>
      <c r="I727" s="40" t="s">
        <v>1005</v>
      </c>
      <c r="M727" s="40" t="s">
        <v>517</v>
      </c>
      <c r="N727" s="42"/>
      <c r="P727" s="47">
        <v>307030</v>
      </c>
      <c r="R727" s="47" t="s">
        <v>699</v>
      </c>
    </row>
    <row r="728" spans="1:18">
      <c r="A728" s="2">
        <v>1</v>
      </c>
      <c r="B728" s="2">
        <v>727</v>
      </c>
      <c r="C728" s="37">
        <v>95271101</v>
      </c>
      <c r="D728" s="4"/>
      <c r="E728" s="43" t="s">
        <v>698</v>
      </c>
      <c r="F728" s="2">
        <v>20250731</v>
      </c>
      <c r="G728" s="2">
        <v>20250731</v>
      </c>
      <c r="H728" s="2">
        <v>20250731</v>
      </c>
      <c r="I728" s="40" t="s">
        <v>1155</v>
      </c>
      <c r="M728" s="40" t="s">
        <v>503</v>
      </c>
      <c r="N728" s="42"/>
      <c r="P728" s="47">
        <v>307030</v>
      </c>
      <c r="R728" s="47" t="s">
        <v>699</v>
      </c>
    </row>
    <row r="729" spans="1:18">
      <c r="A729" s="2">
        <v>1</v>
      </c>
      <c r="B729" s="2">
        <v>728</v>
      </c>
      <c r="C729" s="37">
        <v>95271101</v>
      </c>
      <c r="D729" s="4"/>
      <c r="E729" s="43" t="s">
        <v>698</v>
      </c>
      <c r="F729" s="2">
        <v>20250731</v>
      </c>
      <c r="G729" s="2">
        <v>20250731</v>
      </c>
      <c r="H729" s="2">
        <v>20250731</v>
      </c>
      <c r="I729" s="40" t="s">
        <v>1123</v>
      </c>
      <c r="M729" s="40" t="s">
        <v>606</v>
      </c>
      <c r="N729" s="42"/>
      <c r="P729" s="47">
        <v>307030</v>
      </c>
      <c r="R729" s="47" t="s">
        <v>699</v>
      </c>
    </row>
    <row r="730" spans="1:18">
      <c r="A730" s="2">
        <v>1</v>
      </c>
      <c r="B730" s="2">
        <v>729</v>
      </c>
      <c r="C730" s="37">
        <v>95271101</v>
      </c>
      <c r="D730" s="4"/>
      <c r="E730" s="43" t="s">
        <v>698</v>
      </c>
      <c r="F730" s="2">
        <v>20250731</v>
      </c>
      <c r="G730" s="2">
        <v>20250731</v>
      </c>
      <c r="H730" s="2">
        <v>20250731</v>
      </c>
      <c r="I730" s="40" t="s">
        <v>980</v>
      </c>
      <c r="M730" s="40" t="s">
        <v>607</v>
      </c>
      <c r="N730" s="42"/>
      <c r="P730" s="47">
        <v>307030</v>
      </c>
      <c r="R730" s="47" t="s">
        <v>699</v>
      </c>
    </row>
    <row r="731" spans="1:18">
      <c r="A731" s="2">
        <v>1</v>
      </c>
      <c r="B731" s="2">
        <v>730</v>
      </c>
      <c r="C731" s="37">
        <v>95271101</v>
      </c>
      <c r="D731" s="4"/>
      <c r="E731" s="43" t="s">
        <v>698</v>
      </c>
      <c r="F731" s="2">
        <v>20250731</v>
      </c>
      <c r="G731" s="2">
        <v>20250731</v>
      </c>
      <c r="H731" s="2">
        <v>20250731</v>
      </c>
      <c r="I731" s="40" t="s">
        <v>746</v>
      </c>
      <c r="M731" s="40" t="s">
        <v>608</v>
      </c>
      <c r="N731" s="42"/>
      <c r="P731" s="47">
        <v>307030</v>
      </c>
      <c r="R731" s="47" t="s">
        <v>699</v>
      </c>
    </row>
    <row r="732" spans="1:18">
      <c r="A732" s="2">
        <v>1</v>
      </c>
      <c r="B732" s="2">
        <v>731</v>
      </c>
      <c r="C732" s="37">
        <v>95271101</v>
      </c>
      <c r="D732" s="4"/>
      <c r="E732" s="43" t="s">
        <v>698</v>
      </c>
      <c r="F732" s="2">
        <v>20250731</v>
      </c>
      <c r="G732" s="2">
        <v>20250731</v>
      </c>
      <c r="H732" s="2">
        <v>20250731</v>
      </c>
      <c r="I732" s="40" t="s">
        <v>735</v>
      </c>
      <c r="M732" s="40" t="s">
        <v>529</v>
      </c>
      <c r="N732" s="42"/>
      <c r="P732" s="47">
        <v>307030</v>
      </c>
      <c r="R732" s="47" t="s">
        <v>699</v>
      </c>
    </row>
    <row r="733" spans="1:18">
      <c r="A733" s="2">
        <v>1</v>
      </c>
      <c r="B733" s="2">
        <v>732</v>
      </c>
      <c r="C733" s="37">
        <v>95271101</v>
      </c>
      <c r="D733" s="4"/>
      <c r="E733" s="43" t="s">
        <v>698</v>
      </c>
      <c r="F733" s="2">
        <v>20250731</v>
      </c>
      <c r="G733" s="2">
        <v>20250731</v>
      </c>
      <c r="H733" s="2">
        <v>20250731</v>
      </c>
      <c r="I733" s="40" t="s">
        <v>1010</v>
      </c>
      <c r="M733" s="40" t="s">
        <v>609</v>
      </c>
      <c r="N733" s="42"/>
      <c r="P733" s="47">
        <v>307030</v>
      </c>
      <c r="R733" s="47" t="s">
        <v>699</v>
      </c>
    </row>
    <row r="734" spans="1:18">
      <c r="A734" s="2">
        <v>1</v>
      </c>
      <c r="B734" s="2">
        <v>733</v>
      </c>
      <c r="C734" s="37">
        <v>95271101</v>
      </c>
      <c r="D734" s="4"/>
      <c r="E734" s="43" t="s">
        <v>698</v>
      </c>
      <c r="F734" s="2">
        <v>20250731</v>
      </c>
      <c r="G734" s="2">
        <v>20250731</v>
      </c>
      <c r="H734" s="2">
        <v>20250731</v>
      </c>
      <c r="I734" s="40" t="s">
        <v>986</v>
      </c>
      <c r="M734" s="40" t="s">
        <v>175</v>
      </c>
      <c r="N734" s="42"/>
      <c r="P734" s="47">
        <v>307030</v>
      </c>
      <c r="R734" s="47" t="s">
        <v>699</v>
      </c>
    </row>
    <row r="735" spans="1:18">
      <c r="A735" s="2">
        <v>1</v>
      </c>
      <c r="B735" s="2">
        <v>734</v>
      </c>
      <c r="C735" s="37">
        <v>95271101</v>
      </c>
      <c r="D735" s="4"/>
      <c r="E735" s="43" t="s">
        <v>698</v>
      </c>
      <c r="F735" s="2">
        <v>20250731</v>
      </c>
      <c r="G735" s="2">
        <v>20250731</v>
      </c>
      <c r="H735" s="2">
        <v>20250731</v>
      </c>
      <c r="I735" s="40" t="s">
        <v>987</v>
      </c>
      <c r="M735" s="40" t="s">
        <v>242</v>
      </c>
      <c r="N735" s="42"/>
      <c r="P735" s="47">
        <v>307030</v>
      </c>
      <c r="R735" s="47" t="s">
        <v>699</v>
      </c>
    </row>
    <row r="736" spans="1:18">
      <c r="A736" s="2">
        <v>1</v>
      </c>
      <c r="B736" s="2">
        <v>735</v>
      </c>
      <c r="C736" s="37">
        <v>95271101</v>
      </c>
      <c r="D736" s="4"/>
      <c r="E736" s="43" t="s">
        <v>698</v>
      </c>
      <c r="F736" s="2">
        <v>20250731</v>
      </c>
      <c r="G736" s="2">
        <v>20250731</v>
      </c>
      <c r="H736" s="2">
        <v>20250731</v>
      </c>
      <c r="I736" s="40" t="s">
        <v>993</v>
      </c>
      <c r="M736" s="40" t="s">
        <v>248</v>
      </c>
      <c r="N736" s="42"/>
      <c r="P736" s="47">
        <v>307030</v>
      </c>
      <c r="R736" s="47" t="s">
        <v>699</v>
      </c>
    </row>
    <row r="737" spans="1:18">
      <c r="A737" s="2">
        <v>1</v>
      </c>
      <c r="B737" s="2">
        <v>736</v>
      </c>
      <c r="C737" s="37">
        <v>95271101</v>
      </c>
      <c r="D737" s="4"/>
      <c r="E737" s="43" t="s">
        <v>698</v>
      </c>
      <c r="F737" s="2">
        <v>20250731</v>
      </c>
      <c r="G737" s="2">
        <v>20250731</v>
      </c>
      <c r="H737" s="2">
        <v>20250731</v>
      </c>
      <c r="I737" s="40" t="s">
        <v>996</v>
      </c>
      <c r="M737" s="40" t="s">
        <v>556</v>
      </c>
      <c r="N737" s="42"/>
      <c r="P737" s="47">
        <v>307030</v>
      </c>
      <c r="R737" s="47" t="s">
        <v>699</v>
      </c>
    </row>
    <row r="738" spans="1:18">
      <c r="A738" s="2">
        <v>1</v>
      </c>
      <c r="B738" s="2">
        <v>737</v>
      </c>
      <c r="C738" s="37">
        <v>95271101</v>
      </c>
      <c r="D738" s="4"/>
      <c r="E738" s="43" t="s">
        <v>698</v>
      </c>
      <c r="F738" s="2">
        <v>20250731</v>
      </c>
      <c r="G738" s="2">
        <v>20250731</v>
      </c>
      <c r="H738" s="2">
        <v>20250731</v>
      </c>
      <c r="I738" s="40" t="s">
        <v>1003</v>
      </c>
      <c r="M738" s="40" t="s">
        <v>242</v>
      </c>
      <c r="N738" s="42"/>
      <c r="P738" s="47">
        <v>307030</v>
      </c>
      <c r="R738" s="47" t="s">
        <v>699</v>
      </c>
    </row>
    <row r="739" spans="1:18">
      <c r="A739" s="2">
        <v>1</v>
      </c>
      <c r="B739" s="2">
        <v>738</v>
      </c>
      <c r="C739" s="37">
        <v>95271101</v>
      </c>
      <c r="D739" s="4"/>
      <c r="E739" s="43" t="s">
        <v>698</v>
      </c>
      <c r="F739" s="2">
        <v>20250731</v>
      </c>
      <c r="G739" s="2">
        <v>20250731</v>
      </c>
      <c r="H739" s="2">
        <v>20250731</v>
      </c>
      <c r="I739" s="40" t="s">
        <v>1007</v>
      </c>
      <c r="M739" s="40" t="s">
        <v>160</v>
      </c>
      <c r="N739" s="42"/>
      <c r="P739" s="47">
        <v>307030</v>
      </c>
      <c r="R739" s="47" t="s">
        <v>699</v>
      </c>
    </row>
    <row r="740" spans="1:18">
      <c r="A740" s="2">
        <v>1</v>
      </c>
      <c r="B740" s="2">
        <v>739</v>
      </c>
      <c r="C740" s="37">
        <v>95271101</v>
      </c>
      <c r="D740" s="4"/>
      <c r="E740" s="43" t="s">
        <v>698</v>
      </c>
      <c r="F740" s="2">
        <v>20250731</v>
      </c>
      <c r="G740" s="2">
        <v>20250731</v>
      </c>
      <c r="H740" s="2">
        <v>20250731</v>
      </c>
      <c r="I740" s="40" t="s">
        <v>1008</v>
      </c>
      <c r="M740" s="40" t="s">
        <v>610</v>
      </c>
      <c r="N740" s="42"/>
      <c r="P740" s="47">
        <v>307030</v>
      </c>
      <c r="R740" s="47" t="s">
        <v>699</v>
      </c>
    </row>
    <row r="741" spans="1:18">
      <c r="A741" s="2">
        <v>1</v>
      </c>
      <c r="B741" s="2">
        <v>740</v>
      </c>
      <c r="C741" s="37">
        <v>95271101</v>
      </c>
      <c r="D741" s="4"/>
      <c r="E741" s="43" t="s">
        <v>698</v>
      </c>
      <c r="F741" s="2">
        <v>20250731</v>
      </c>
      <c r="G741" s="2">
        <v>20250731</v>
      </c>
      <c r="H741" s="2">
        <v>20250731</v>
      </c>
      <c r="I741" s="40" t="s">
        <v>1156</v>
      </c>
      <c r="M741" s="40" t="s">
        <v>253</v>
      </c>
      <c r="N741" s="42"/>
      <c r="P741" s="47">
        <v>307030</v>
      </c>
      <c r="R741" s="47" t="s">
        <v>699</v>
      </c>
    </row>
    <row r="742" spans="1:18">
      <c r="A742" s="2">
        <v>1</v>
      </c>
      <c r="B742" s="2">
        <v>741</v>
      </c>
      <c r="C742" s="37">
        <v>95271101</v>
      </c>
      <c r="D742" s="4"/>
      <c r="E742" s="43" t="s">
        <v>698</v>
      </c>
      <c r="F742" s="2">
        <v>20250731</v>
      </c>
      <c r="G742" s="2">
        <v>20250731</v>
      </c>
      <c r="H742" s="2">
        <v>20250731</v>
      </c>
      <c r="I742" s="40" t="s">
        <v>1160</v>
      </c>
      <c r="M742" s="40" t="s">
        <v>163</v>
      </c>
      <c r="N742" s="42"/>
      <c r="P742" s="47">
        <v>307030</v>
      </c>
      <c r="R742" s="47" t="s">
        <v>699</v>
      </c>
    </row>
    <row r="743" spans="1:18">
      <c r="A743" s="2">
        <v>1</v>
      </c>
      <c r="B743" s="2">
        <v>742</v>
      </c>
      <c r="C743" s="37">
        <v>95271101</v>
      </c>
      <c r="D743" s="4"/>
      <c r="E743" s="43" t="s">
        <v>698</v>
      </c>
      <c r="F743" s="2">
        <v>20250731</v>
      </c>
      <c r="G743" s="2">
        <v>20250731</v>
      </c>
      <c r="H743" s="2">
        <v>20250731</v>
      </c>
      <c r="I743" s="40" t="s">
        <v>1013</v>
      </c>
      <c r="M743" s="40" t="s">
        <v>611</v>
      </c>
      <c r="N743" s="42"/>
      <c r="P743" s="47">
        <v>307030</v>
      </c>
      <c r="R743" s="47" t="s">
        <v>699</v>
      </c>
    </row>
    <row r="744" spans="1:18">
      <c r="A744" s="2">
        <v>1</v>
      </c>
      <c r="B744" s="2">
        <v>743</v>
      </c>
      <c r="C744" s="37">
        <v>95271101</v>
      </c>
      <c r="D744" s="4"/>
      <c r="E744" s="43" t="s">
        <v>698</v>
      </c>
      <c r="F744" s="2">
        <v>20250731</v>
      </c>
      <c r="G744" s="2">
        <v>20250731</v>
      </c>
      <c r="H744" s="2">
        <v>20250731</v>
      </c>
      <c r="I744" s="40" t="s">
        <v>1014</v>
      </c>
      <c r="M744" s="40" t="s">
        <v>161</v>
      </c>
      <c r="N744" s="42"/>
      <c r="P744" s="47">
        <v>307030</v>
      </c>
      <c r="R744" s="47" t="s">
        <v>699</v>
      </c>
    </row>
    <row r="745" spans="1:18">
      <c r="A745" s="2">
        <v>1</v>
      </c>
      <c r="B745" s="2">
        <v>744</v>
      </c>
      <c r="C745" s="37">
        <v>95271101</v>
      </c>
      <c r="D745" s="4"/>
      <c r="E745" s="43" t="s">
        <v>698</v>
      </c>
      <c r="F745" s="2">
        <v>20250731</v>
      </c>
      <c r="G745" s="2">
        <v>20250731</v>
      </c>
      <c r="H745" s="2">
        <v>20250731</v>
      </c>
      <c r="I745" s="40" t="s">
        <v>1018</v>
      </c>
      <c r="M745" s="40" t="s">
        <v>612</v>
      </c>
      <c r="N745" s="42"/>
      <c r="P745" s="47">
        <v>307030</v>
      </c>
      <c r="R745" s="47" t="s">
        <v>699</v>
      </c>
    </row>
    <row r="746" spans="1:18">
      <c r="A746" s="2">
        <v>1</v>
      </c>
      <c r="B746" s="2">
        <v>745</v>
      </c>
      <c r="C746" s="37">
        <v>95271101</v>
      </c>
      <c r="D746" s="4"/>
      <c r="E746" s="43" t="s">
        <v>698</v>
      </c>
      <c r="F746" s="2">
        <v>20250731</v>
      </c>
      <c r="G746" s="2">
        <v>20250731</v>
      </c>
      <c r="H746" s="2">
        <v>20250731</v>
      </c>
      <c r="I746" s="40" t="s">
        <v>1020</v>
      </c>
      <c r="M746" s="40" t="s">
        <v>528</v>
      </c>
      <c r="N746" s="42"/>
      <c r="P746" s="47">
        <v>307030</v>
      </c>
      <c r="R746" s="47" t="s">
        <v>699</v>
      </c>
    </row>
    <row r="747" spans="1:18">
      <c r="A747" s="2">
        <v>1</v>
      </c>
      <c r="B747" s="2">
        <v>746</v>
      </c>
      <c r="C747" s="37">
        <v>95271101</v>
      </c>
      <c r="D747" s="4"/>
      <c r="E747" s="43" t="s">
        <v>698</v>
      </c>
      <c r="F747" s="2">
        <v>20250731</v>
      </c>
      <c r="G747" s="2">
        <v>20250731</v>
      </c>
      <c r="H747" s="2">
        <v>20250731</v>
      </c>
      <c r="I747" s="40" t="s">
        <v>1023</v>
      </c>
      <c r="M747" s="40" t="s">
        <v>613</v>
      </c>
      <c r="N747" s="42"/>
      <c r="P747" s="47">
        <v>307030</v>
      </c>
      <c r="R747" s="47" t="s">
        <v>699</v>
      </c>
    </row>
    <row r="748" spans="1:18">
      <c r="A748" s="2">
        <v>1</v>
      </c>
      <c r="B748" s="2">
        <v>747</v>
      </c>
      <c r="C748" s="37">
        <v>95271101</v>
      </c>
      <c r="D748" s="4"/>
      <c r="E748" s="43" t="s">
        <v>698</v>
      </c>
      <c r="F748" s="2">
        <v>20250731</v>
      </c>
      <c r="G748" s="2">
        <v>20250731</v>
      </c>
      <c r="H748" s="2">
        <v>20250731</v>
      </c>
      <c r="I748" s="40" t="s">
        <v>1025</v>
      </c>
      <c r="M748" s="40" t="s">
        <v>614</v>
      </c>
      <c r="N748" s="42"/>
      <c r="P748" s="47">
        <v>307030</v>
      </c>
      <c r="R748" s="47" t="s">
        <v>699</v>
      </c>
    </row>
    <row r="749" spans="1:18">
      <c r="A749" s="2">
        <v>1</v>
      </c>
      <c r="B749" s="2">
        <v>748</v>
      </c>
      <c r="C749" s="37">
        <v>95271101</v>
      </c>
      <c r="D749" s="4"/>
      <c r="E749" s="43" t="s">
        <v>698</v>
      </c>
      <c r="F749" s="2">
        <v>20250731</v>
      </c>
      <c r="G749" s="2">
        <v>20250731</v>
      </c>
      <c r="H749" s="2">
        <v>20250731</v>
      </c>
      <c r="I749" s="40" t="s">
        <v>1031</v>
      </c>
      <c r="M749" s="40" t="s">
        <v>615</v>
      </c>
      <c r="N749" s="42"/>
      <c r="P749" s="47">
        <v>307030</v>
      </c>
      <c r="R749" s="47" t="s">
        <v>699</v>
      </c>
    </row>
    <row r="750" spans="1:18">
      <c r="A750" s="2">
        <v>1</v>
      </c>
      <c r="B750" s="2">
        <v>749</v>
      </c>
      <c r="C750" s="37">
        <v>95271101</v>
      </c>
      <c r="D750" s="4"/>
      <c r="E750" s="43" t="s">
        <v>698</v>
      </c>
      <c r="F750" s="2">
        <v>20250731</v>
      </c>
      <c r="G750" s="2">
        <v>20250731</v>
      </c>
      <c r="H750" s="2">
        <v>20250731</v>
      </c>
      <c r="I750" s="40" t="s">
        <v>738</v>
      </c>
      <c r="M750" s="40" t="s">
        <v>579</v>
      </c>
      <c r="N750" s="42"/>
      <c r="P750" s="47">
        <v>307030</v>
      </c>
      <c r="R750" s="47" t="s">
        <v>699</v>
      </c>
    </row>
    <row r="751" spans="1:18">
      <c r="A751" s="2">
        <v>1</v>
      </c>
      <c r="B751" s="2">
        <v>750</v>
      </c>
      <c r="C751" s="37">
        <v>95271101</v>
      </c>
      <c r="D751" s="4"/>
      <c r="E751" s="43" t="s">
        <v>698</v>
      </c>
      <c r="F751" s="2">
        <v>20250731</v>
      </c>
      <c r="G751" s="2">
        <v>20250731</v>
      </c>
      <c r="H751" s="2">
        <v>20250731</v>
      </c>
      <c r="I751" s="40" t="s">
        <v>1033</v>
      </c>
      <c r="M751" s="40" t="s">
        <v>616</v>
      </c>
      <c r="N751" s="42"/>
      <c r="P751" s="47">
        <v>307030</v>
      </c>
      <c r="R751" s="47" t="s">
        <v>699</v>
      </c>
    </row>
    <row r="752" spans="1:18">
      <c r="A752" s="2">
        <v>1</v>
      </c>
      <c r="B752" s="2">
        <v>751</v>
      </c>
      <c r="C752" s="37">
        <v>95271101</v>
      </c>
      <c r="D752" s="4"/>
      <c r="E752" s="43" t="s">
        <v>698</v>
      </c>
      <c r="F752" s="2">
        <v>20250731</v>
      </c>
      <c r="G752" s="2">
        <v>20250731</v>
      </c>
      <c r="H752" s="2">
        <v>20250731</v>
      </c>
      <c r="I752" s="40" t="s">
        <v>1035</v>
      </c>
      <c r="M752" s="40" t="s">
        <v>577</v>
      </c>
      <c r="N752" s="42"/>
      <c r="P752" s="47">
        <v>307030</v>
      </c>
      <c r="R752" s="47" t="s">
        <v>699</v>
      </c>
    </row>
    <row r="753" spans="1:18">
      <c r="A753" s="2">
        <v>1</v>
      </c>
      <c r="B753" s="2">
        <v>752</v>
      </c>
      <c r="C753" s="37">
        <v>95271101</v>
      </c>
      <c r="D753" s="4"/>
      <c r="E753" s="43" t="s">
        <v>698</v>
      </c>
      <c r="F753" s="2">
        <v>20250731</v>
      </c>
      <c r="G753" s="2">
        <v>20250731</v>
      </c>
      <c r="H753" s="2">
        <v>20250731</v>
      </c>
      <c r="I753" s="40" t="s">
        <v>1036</v>
      </c>
      <c r="M753" s="40" t="s">
        <v>617</v>
      </c>
      <c r="N753" s="42"/>
      <c r="P753" s="47">
        <v>307030</v>
      </c>
      <c r="R753" s="47" t="s">
        <v>699</v>
      </c>
    </row>
    <row r="754" spans="1:18">
      <c r="A754" s="2">
        <v>1</v>
      </c>
      <c r="B754" s="2">
        <v>753</v>
      </c>
      <c r="C754" s="37">
        <v>95271101</v>
      </c>
      <c r="D754" s="4"/>
      <c r="E754" s="43" t="s">
        <v>698</v>
      </c>
      <c r="F754" s="2">
        <v>20250731</v>
      </c>
      <c r="G754" s="2">
        <v>20250731</v>
      </c>
      <c r="H754" s="2">
        <v>20250731</v>
      </c>
      <c r="I754" s="40" t="s">
        <v>1037</v>
      </c>
      <c r="M754" s="40" t="s">
        <v>618</v>
      </c>
      <c r="N754" s="42"/>
      <c r="P754" s="47">
        <v>307030</v>
      </c>
      <c r="R754" s="47" t="s">
        <v>699</v>
      </c>
    </row>
    <row r="755" spans="1:18">
      <c r="A755" s="2">
        <v>1</v>
      </c>
      <c r="B755" s="2">
        <v>754</v>
      </c>
      <c r="C755" s="37">
        <v>95271101</v>
      </c>
      <c r="D755" s="4"/>
      <c r="E755" s="43" t="s">
        <v>698</v>
      </c>
      <c r="F755" s="2">
        <v>20250731</v>
      </c>
      <c r="G755" s="2">
        <v>20250731</v>
      </c>
      <c r="H755" s="2">
        <v>20250731</v>
      </c>
      <c r="I755" s="40" t="s">
        <v>1161</v>
      </c>
      <c r="M755" s="40" t="s">
        <v>227</v>
      </c>
      <c r="N755" s="42"/>
      <c r="P755" s="47">
        <v>307030</v>
      </c>
      <c r="R755" s="47" t="s">
        <v>699</v>
      </c>
    </row>
    <row r="756" spans="1:18">
      <c r="A756" s="2">
        <v>1</v>
      </c>
      <c r="B756" s="2">
        <v>755</v>
      </c>
      <c r="C756" s="37">
        <v>95271101</v>
      </c>
      <c r="D756" s="4"/>
      <c r="E756" s="43" t="s">
        <v>698</v>
      </c>
      <c r="F756" s="2">
        <v>20250731</v>
      </c>
      <c r="G756" s="2">
        <v>20250731</v>
      </c>
      <c r="H756" s="2">
        <v>20250731</v>
      </c>
      <c r="I756" s="40" t="s">
        <v>1162</v>
      </c>
      <c r="M756" s="40" t="s">
        <v>619</v>
      </c>
      <c r="N756" s="42"/>
      <c r="P756" s="47">
        <v>307030</v>
      </c>
      <c r="R756" s="47" t="s">
        <v>699</v>
      </c>
    </row>
    <row r="757" spans="1:18">
      <c r="A757" s="2">
        <v>1</v>
      </c>
      <c r="B757" s="2">
        <v>756</v>
      </c>
      <c r="C757" s="37">
        <v>95271101</v>
      </c>
      <c r="D757" s="4"/>
      <c r="E757" s="43" t="s">
        <v>698</v>
      </c>
      <c r="F757" s="2">
        <v>20250731</v>
      </c>
      <c r="G757" s="2">
        <v>20250731</v>
      </c>
      <c r="H757" s="2">
        <v>20250731</v>
      </c>
      <c r="I757" s="40" t="s">
        <v>740</v>
      </c>
      <c r="M757" s="40" t="s">
        <v>163</v>
      </c>
      <c r="N757" s="42"/>
      <c r="P757" s="47">
        <v>307030</v>
      </c>
      <c r="R757" s="47" t="s">
        <v>699</v>
      </c>
    </row>
    <row r="758" spans="1:18">
      <c r="A758" s="2">
        <v>1</v>
      </c>
      <c r="B758" s="2">
        <v>757</v>
      </c>
      <c r="C758" s="37">
        <v>95271101</v>
      </c>
      <c r="D758" s="4"/>
      <c r="E758" s="43" t="s">
        <v>698</v>
      </c>
      <c r="F758" s="2">
        <v>20250731</v>
      </c>
      <c r="G758" s="2">
        <v>20250731</v>
      </c>
      <c r="H758" s="2">
        <v>20250731</v>
      </c>
      <c r="I758" s="40" t="s">
        <v>1040</v>
      </c>
      <c r="M758" s="40" t="s">
        <v>620</v>
      </c>
      <c r="N758" s="42"/>
      <c r="P758" s="47">
        <v>307030</v>
      </c>
      <c r="R758" s="47" t="s">
        <v>699</v>
      </c>
    </row>
    <row r="759" spans="1:18">
      <c r="A759" s="2">
        <v>1</v>
      </c>
      <c r="B759" s="2">
        <v>758</v>
      </c>
      <c r="C759" s="37">
        <v>95271101</v>
      </c>
      <c r="D759" s="4"/>
      <c r="E759" s="43" t="s">
        <v>698</v>
      </c>
      <c r="F759" s="2">
        <v>20250731</v>
      </c>
      <c r="G759" s="2">
        <v>20250731</v>
      </c>
      <c r="H759" s="2">
        <v>20250731</v>
      </c>
      <c r="I759" s="40" t="s">
        <v>1041</v>
      </c>
      <c r="M759" s="40" t="s">
        <v>620</v>
      </c>
      <c r="N759" s="42"/>
      <c r="P759" s="47">
        <v>307030</v>
      </c>
      <c r="R759" s="47" t="s">
        <v>699</v>
      </c>
    </row>
    <row r="760" spans="1:18">
      <c r="A760" s="2">
        <v>1</v>
      </c>
      <c r="B760" s="2">
        <v>759</v>
      </c>
      <c r="C760" s="37">
        <v>95271101</v>
      </c>
      <c r="D760" s="4"/>
      <c r="E760" s="43" t="s">
        <v>698</v>
      </c>
      <c r="F760" s="2">
        <v>20250731</v>
      </c>
      <c r="G760" s="2">
        <v>20250731</v>
      </c>
      <c r="H760" s="2">
        <v>20250731</v>
      </c>
      <c r="I760" s="40" t="s">
        <v>1039</v>
      </c>
      <c r="M760" s="40" t="s">
        <v>621</v>
      </c>
      <c r="N760" s="42"/>
      <c r="P760" s="47">
        <v>307030</v>
      </c>
      <c r="R760" s="47" t="s">
        <v>699</v>
      </c>
    </row>
    <row r="761" spans="1:18">
      <c r="A761" s="2">
        <v>1</v>
      </c>
      <c r="B761" s="2">
        <v>760</v>
      </c>
      <c r="C761" s="37">
        <v>95271101</v>
      </c>
      <c r="D761" s="4"/>
      <c r="E761" s="43" t="s">
        <v>698</v>
      </c>
      <c r="F761" s="2">
        <v>20250731</v>
      </c>
      <c r="G761" s="2">
        <v>20250731</v>
      </c>
      <c r="H761" s="2">
        <v>20250731</v>
      </c>
      <c r="I761" s="40" t="s">
        <v>1012</v>
      </c>
      <c r="M761" s="40" t="s">
        <v>622</v>
      </c>
      <c r="N761" s="42"/>
      <c r="P761" s="47">
        <v>307030</v>
      </c>
      <c r="R761" s="47" t="s">
        <v>699</v>
      </c>
    </row>
    <row r="762" spans="1:18">
      <c r="A762" s="2">
        <v>1</v>
      </c>
      <c r="B762" s="2">
        <v>761</v>
      </c>
      <c r="C762" s="37">
        <v>95271101</v>
      </c>
      <c r="D762" s="4"/>
      <c r="E762" s="43" t="s">
        <v>698</v>
      </c>
      <c r="F762" s="2">
        <v>20250731</v>
      </c>
      <c r="G762" s="2">
        <v>20250731</v>
      </c>
      <c r="H762" s="2">
        <v>20250731</v>
      </c>
      <c r="I762" s="40" t="s">
        <v>1015</v>
      </c>
      <c r="M762" s="40" t="s">
        <v>623</v>
      </c>
      <c r="N762" s="42"/>
      <c r="P762" s="47">
        <v>307030</v>
      </c>
      <c r="R762" s="47" t="s">
        <v>699</v>
      </c>
    </row>
    <row r="763" spans="1:18">
      <c r="A763" s="2">
        <v>1</v>
      </c>
      <c r="B763" s="2">
        <v>762</v>
      </c>
      <c r="C763" s="37">
        <v>95271101</v>
      </c>
      <c r="D763" s="4"/>
      <c r="E763" s="43" t="s">
        <v>698</v>
      </c>
      <c r="F763" s="2">
        <v>20250731</v>
      </c>
      <c r="G763" s="2">
        <v>20250731</v>
      </c>
      <c r="H763" s="2">
        <v>20250731</v>
      </c>
      <c r="I763" s="40" t="s">
        <v>1017</v>
      </c>
      <c r="M763" s="40" t="s">
        <v>624</v>
      </c>
      <c r="N763" s="42"/>
      <c r="P763" s="47">
        <v>307030</v>
      </c>
      <c r="R763" s="47" t="s">
        <v>699</v>
      </c>
    </row>
    <row r="764" spans="1:18">
      <c r="A764" s="2">
        <v>1</v>
      </c>
      <c r="B764" s="2">
        <v>763</v>
      </c>
      <c r="C764" s="37">
        <v>95271101</v>
      </c>
      <c r="D764" s="4"/>
      <c r="E764" s="43" t="s">
        <v>698</v>
      </c>
      <c r="F764" s="2">
        <v>20250731</v>
      </c>
      <c r="G764" s="2">
        <v>20250731</v>
      </c>
      <c r="H764" s="2">
        <v>20250731</v>
      </c>
      <c r="I764" s="40" t="s">
        <v>1019</v>
      </c>
      <c r="M764" s="40" t="s">
        <v>625</v>
      </c>
      <c r="N764" s="42"/>
      <c r="P764" s="47">
        <v>307030</v>
      </c>
      <c r="R764" s="47" t="s">
        <v>699</v>
      </c>
    </row>
    <row r="765" spans="1:18">
      <c r="A765" s="2">
        <v>1</v>
      </c>
      <c r="B765" s="2">
        <v>764</v>
      </c>
      <c r="C765" s="37">
        <v>95271101</v>
      </c>
      <c r="D765" s="4"/>
      <c r="E765" s="43" t="s">
        <v>698</v>
      </c>
      <c r="F765" s="2">
        <v>20250731</v>
      </c>
      <c r="G765" s="2">
        <v>20250731</v>
      </c>
      <c r="H765" s="2">
        <v>20250731</v>
      </c>
      <c r="I765" s="40" t="s">
        <v>1021</v>
      </c>
      <c r="M765" s="40" t="s">
        <v>626</v>
      </c>
      <c r="N765" s="42"/>
      <c r="P765" s="47">
        <v>307030</v>
      </c>
      <c r="R765" s="47" t="s">
        <v>699</v>
      </c>
    </row>
    <row r="766" spans="1:18">
      <c r="A766" s="2">
        <v>1</v>
      </c>
      <c r="B766" s="2">
        <v>765</v>
      </c>
      <c r="C766" s="37">
        <v>95271101</v>
      </c>
      <c r="D766" s="4"/>
      <c r="E766" s="43" t="s">
        <v>698</v>
      </c>
      <c r="F766" s="2">
        <v>20250731</v>
      </c>
      <c r="G766" s="2">
        <v>20250731</v>
      </c>
      <c r="H766" s="2">
        <v>20250731</v>
      </c>
      <c r="I766" s="40" t="s">
        <v>1022</v>
      </c>
      <c r="M766" s="40" t="s">
        <v>627</v>
      </c>
      <c r="N766" s="42"/>
      <c r="P766" s="47">
        <v>307030</v>
      </c>
      <c r="R766" s="47" t="s">
        <v>699</v>
      </c>
    </row>
    <row r="767" spans="1:18">
      <c r="A767" s="2">
        <v>1</v>
      </c>
      <c r="B767" s="2">
        <v>766</v>
      </c>
      <c r="C767" s="37">
        <v>95271101</v>
      </c>
      <c r="D767" s="4"/>
      <c r="E767" s="43" t="s">
        <v>698</v>
      </c>
      <c r="F767" s="2">
        <v>20250731</v>
      </c>
      <c r="G767" s="2">
        <v>20250731</v>
      </c>
      <c r="H767" s="2">
        <v>20250731</v>
      </c>
      <c r="I767" s="40" t="s">
        <v>1027</v>
      </c>
      <c r="M767" s="40" t="s">
        <v>628</v>
      </c>
      <c r="N767" s="42"/>
      <c r="P767" s="47">
        <v>307030</v>
      </c>
      <c r="R767" s="47" t="s">
        <v>699</v>
      </c>
    </row>
    <row r="768" spans="1:18">
      <c r="A768" s="2">
        <v>1</v>
      </c>
      <c r="B768" s="2">
        <v>767</v>
      </c>
      <c r="C768" s="37">
        <v>95271101</v>
      </c>
      <c r="D768" s="4"/>
      <c r="E768" s="43" t="s">
        <v>698</v>
      </c>
      <c r="F768" s="2">
        <v>20250731</v>
      </c>
      <c r="G768" s="2">
        <v>20250731</v>
      </c>
      <c r="H768" s="2">
        <v>20250731</v>
      </c>
      <c r="I768" s="40" t="s">
        <v>1030</v>
      </c>
      <c r="M768" s="40" t="s">
        <v>626</v>
      </c>
      <c r="N768" s="42"/>
      <c r="P768" s="47">
        <v>307030</v>
      </c>
      <c r="R768" s="47" t="s">
        <v>699</v>
      </c>
    </row>
    <row r="769" spans="1:18">
      <c r="A769" s="2">
        <v>1</v>
      </c>
      <c r="B769" s="2">
        <v>768</v>
      </c>
      <c r="C769" s="37">
        <v>95271101</v>
      </c>
      <c r="D769" s="4"/>
      <c r="E769" s="43" t="s">
        <v>698</v>
      </c>
      <c r="F769" s="2">
        <v>20250731</v>
      </c>
      <c r="G769" s="2">
        <v>20250731</v>
      </c>
      <c r="H769" s="2">
        <v>20250731</v>
      </c>
      <c r="I769" s="40" t="s">
        <v>741</v>
      </c>
      <c r="M769" s="40" t="s">
        <v>629</v>
      </c>
      <c r="N769" s="42"/>
      <c r="P769" s="47">
        <v>307030</v>
      </c>
      <c r="R769" s="47" t="s">
        <v>699</v>
      </c>
    </row>
    <row r="770" spans="1:18">
      <c r="A770" s="2">
        <v>1</v>
      </c>
      <c r="B770" s="2">
        <v>769</v>
      </c>
      <c r="C770" s="37">
        <v>95271101</v>
      </c>
      <c r="D770" s="4"/>
      <c r="E770" s="43" t="s">
        <v>698</v>
      </c>
      <c r="F770" s="2">
        <v>20250731</v>
      </c>
      <c r="G770" s="2">
        <v>20250731</v>
      </c>
      <c r="H770" s="2">
        <v>20250731</v>
      </c>
      <c r="I770" s="40" t="s">
        <v>1002</v>
      </c>
      <c r="M770" s="40" t="s">
        <v>630</v>
      </c>
      <c r="N770" s="42"/>
      <c r="P770" s="47">
        <v>307030</v>
      </c>
      <c r="R770" s="47" t="s">
        <v>699</v>
      </c>
    </row>
    <row r="771" spans="1:18">
      <c r="A771" s="2">
        <v>1</v>
      </c>
      <c r="B771" s="2">
        <v>770</v>
      </c>
      <c r="C771" s="37">
        <v>95271101</v>
      </c>
      <c r="D771" s="4"/>
      <c r="E771" s="43" t="s">
        <v>698</v>
      </c>
      <c r="F771" s="2">
        <v>20250731</v>
      </c>
      <c r="G771" s="2">
        <v>20250731</v>
      </c>
      <c r="H771" s="2">
        <v>20250731</v>
      </c>
      <c r="I771" s="40" t="s">
        <v>1159</v>
      </c>
      <c r="M771" s="40" t="s">
        <v>163</v>
      </c>
      <c r="N771" s="42"/>
      <c r="P771" s="47">
        <v>307030</v>
      </c>
      <c r="R771" s="47" t="s">
        <v>699</v>
      </c>
    </row>
    <row r="772" spans="1:18">
      <c r="A772" s="2">
        <v>1</v>
      </c>
      <c r="B772" s="2">
        <v>771</v>
      </c>
      <c r="C772" s="37">
        <v>95271101</v>
      </c>
      <c r="D772" s="4"/>
      <c r="E772" s="43" t="s">
        <v>698</v>
      </c>
      <c r="F772" s="2">
        <v>20250731</v>
      </c>
      <c r="G772" s="2">
        <v>20250731</v>
      </c>
      <c r="H772" s="2">
        <v>20250731</v>
      </c>
      <c r="I772" s="40" t="s">
        <v>1024</v>
      </c>
      <c r="M772" s="40" t="s">
        <v>631</v>
      </c>
      <c r="N772" s="42"/>
      <c r="P772" s="47">
        <v>307030</v>
      </c>
      <c r="R772" s="47" t="s">
        <v>699</v>
      </c>
    </row>
    <row r="773" spans="1:18">
      <c r="A773" s="2">
        <v>1</v>
      </c>
      <c r="B773" s="2">
        <v>772</v>
      </c>
      <c r="C773" s="37">
        <v>95271101</v>
      </c>
      <c r="D773" s="4"/>
      <c r="E773" s="43" t="s">
        <v>698</v>
      </c>
      <c r="F773" s="2">
        <v>20250731</v>
      </c>
      <c r="G773" s="2">
        <v>20250731</v>
      </c>
      <c r="H773" s="2">
        <v>20250731</v>
      </c>
      <c r="I773" s="40" t="s">
        <v>1026</v>
      </c>
      <c r="M773" s="40" t="s">
        <v>528</v>
      </c>
      <c r="N773" s="42"/>
      <c r="P773" s="47">
        <v>307030</v>
      </c>
      <c r="R773" s="47" t="s">
        <v>699</v>
      </c>
    </row>
    <row r="774" spans="1:18">
      <c r="A774" s="2">
        <v>1</v>
      </c>
      <c r="B774" s="2">
        <v>773</v>
      </c>
      <c r="C774" s="37">
        <v>95271101</v>
      </c>
      <c r="D774" s="4"/>
      <c r="E774" s="43" t="s">
        <v>698</v>
      </c>
      <c r="F774" s="2">
        <v>20250731</v>
      </c>
      <c r="G774" s="2">
        <v>20250731</v>
      </c>
      <c r="H774" s="2">
        <v>20250731</v>
      </c>
      <c r="I774" s="40" t="s">
        <v>739</v>
      </c>
      <c r="M774" s="40" t="s">
        <v>163</v>
      </c>
      <c r="N774" s="42"/>
      <c r="P774" s="47">
        <v>307030</v>
      </c>
      <c r="R774" s="47" t="s">
        <v>699</v>
      </c>
    </row>
    <row r="775" spans="1:18">
      <c r="A775" s="2">
        <v>1</v>
      </c>
      <c r="B775" s="2">
        <v>774</v>
      </c>
      <c r="C775" s="37">
        <v>95271101</v>
      </c>
      <c r="D775" s="4"/>
      <c r="E775" s="43" t="s">
        <v>698</v>
      </c>
      <c r="F775" s="2">
        <v>20250731</v>
      </c>
      <c r="G775" s="2">
        <v>20250731</v>
      </c>
      <c r="H775" s="2">
        <v>20250731</v>
      </c>
      <c r="I775" s="40" t="s">
        <v>1163</v>
      </c>
      <c r="M775" s="40" t="s">
        <v>174</v>
      </c>
      <c r="N775" s="42"/>
      <c r="P775" s="47">
        <v>307030</v>
      </c>
      <c r="R775" s="47" t="s">
        <v>699</v>
      </c>
    </row>
    <row r="776" spans="1:18">
      <c r="A776" s="2">
        <v>1</v>
      </c>
      <c r="B776" s="2">
        <v>775</v>
      </c>
      <c r="C776" s="37">
        <v>95271101</v>
      </c>
      <c r="D776" s="4"/>
      <c r="E776" s="43" t="s">
        <v>698</v>
      </c>
      <c r="F776" s="2">
        <v>20250731</v>
      </c>
      <c r="G776" s="2">
        <v>20250731</v>
      </c>
      <c r="H776" s="2">
        <v>20250731</v>
      </c>
      <c r="I776" s="40" t="s">
        <v>1042</v>
      </c>
      <c r="M776" s="40" t="s">
        <v>449</v>
      </c>
      <c r="N776" s="42"/>
      <c r="P776" s="47">
        <v>307030</v>
      </c>
      <c r="R776" s="47" t="s">
        <v>699</v>
      </c>
    </row>
    <row r="777" spans="1:18">
      <c r="A777" s="2">
        <v>1</v>
      </c>
      <c r="B777" s="2">
        <v>776</v>
      </c>
      <c r="C777" s="37">
        <v>95271101</v>
      </c>
      <c r="D777" s="4"/>
      <c r="E777" s="43" t="s">
        <v>698</v>
      </c>
      <c r="F777" s="2">
        <v>20250731</v>
      </c>
      <c r="G777" s="2">
        <v>20250731</v>
      </c>
      <c r="H777" s="2">
        <v>20250731</v>
      </c>
      <c r="I777" s="40" t="s">
        <v>1047</v>
      </c>
      <c r="M777" s="40" t="s">
        <v>632</v>
      </c>
      <c r="N777" s="42"/>
      <c r="P777" s="47">
        <v>307030</v>
      </c>
      <c r="R777" s="47" t="s">
        <v>699</v>
      </c>
    </row>
    <row r="778" spans="1:18">
      <c r="A778" s="2">
        <v>1</v>
      </c>
      <c r="B778" s="2">
        <v>777</v>
      </c>
      <c r="C778" s="37">
        <v>95271101</v>
      </c>
      <c r="D778" s="4"/>
      <c r="E778" s="43" t="s">
        <v>698</v>
      </c>
      <c r="F778" s="2">
        <v>20250731</v>
      </c>
      <c r="G778" s="2">
        <v>20250731</v>
      </c>
      <c r="H778" s="2">
        <v>20250731</v>
      </c>
      <c r="I778" s="40" t="s">
        <v>1067</v>
      </c>
      <c r="M778" s="40" t="s">
        <v>633</v>
      </c>
      <c r="N778" s="42"/>
      <c r="P778" s="47">
        <v>307030</v>
      </c>
      <c r="R778" s="47" t="s">
        <v>699</v>
      </c>
    </row>
    <row r="779" spans="1:18">
      <c r="A779" s="2">
        <v>1</v>
      </c>
      <c r="B779" s="2">
        <v>778</v>
      </c>
      <c r="C779" s="37">
        <v>95271101</v>
      </c>
      <c r="D779" s="4"/>
      <c r="E779" s="43" t="s">
        <v>698</v>
      </c>
      <c r="F779" s="2">
        <v>20250731</v>
      </c>
      <c r="G779" s="2">
        <v>20250731</v>
      </c>
      <c r="H779" s="2">
        <v>20250731</v>
      </c>
      <c r="I779" s="40" t="s">
        <v>1078</v>
      </c>
      <c r="M779" s="40" t="s">
        <v>634</v>
      </c>
      <c r="N779" s="42"/>
      <c r="P779" s="47">
        <v>307030</v>
      </c>
      <c r="R779" s="47" t="s">
        <v>699</v>
      </c>
    </row>
    <row r="780" spans="1:18">
      <c r="A780" s="2">
        <v>1</v>
      </c>
      <c r="B780" s="2">
        <v>779</v>
      </c>
      <c r="C780" s="37">
        <v>95271101</v>
      </c>
      <c r="D780" s="4"/>
      <c r="E780" s="43" t="s">
        <v>698</v>
      </c>
      <c r="F780" s="2">
        <v>20250731</v>
      </c>
      <c r="G780" s="2">
        <v>20250731</v>
      </c>
      <c r="H780" s="2">
        <v>20250731</v>
      </c>
      <c r="I780" s="40" t="s">
        <v>1045</v>
      </c>
      <c r="M780" s="40" t="s">
        <v>635</v>
      </c>
      <c r="N780" s="42"/>
      <c r="P780" s="47">
        <v>307030</v>
      </c>
      <c r="R780" s="47" t="s">
        <v>699</v>
      </c>
    </row>
    <row r="781" spans="1:18">
      <c r="A781" s="2">
        <v>1</v>
      </c>
      <c r="B781" s="2">
        <v>780</v>
      </c>
      <c r="C781" s="37">
        <v>95271101</v>
      </c>
      <c r="D781" s="4"/>
      <c r="E781" s="43" t="s">
        <v>698</v>
      </c>
      <c r="F781" s="2">
        <v>20250731</v>
      </c>
      <c r="G781" s="2">
        <v>20250731</v>
      </c>
      <c r="H781" s="2">
        <v>20250731</v>
      </c>
      <c r="I781" s="40" t="s">
        <v>1046</v>
      </c>
      <c r="M781" s="40" t="s">
        <v>636</v>
      </c>
      <c r="N781" s="42"/>
      <c r="P781" s="47">
        <v>307030</v>
      </c>
      <c r="R781" s="47" t="s">
        <v>699</v>
      </c>
    </row>
    <row r="782" spans="1:18">
      <c r="A782" s="2">
        <v>1</v>
      </c>
      <c r="B782" s="2">
        <v>781</v>
      </c>
      <c r="C782" s="37">
        <v>95271101</v>
      </c>
      <c r="D782" s="4"/>
      <c r="E782" s="43" t="s">
        <v>698</v>
      </c>
      <c r="F782" s="2">
        <v>20250731</v>
      </c>
      <c r="G782" s="2">
        <v>20250731</v>
      </c>
      <c r="H782" s="2">
        <v>20250731</v>
      </c>
      <c r="I782" s="40" t="s">
        <v>1065</v>
      </c>
      <c r="M782" s="40" t="s">
        <v>637</v>
      </c>
      <c r="N782" s="42"/>
      <c r="P782" s="47">
        <v>307030</v>
      </c>
      <c r="R782" s="47" t="s">
        <v>699</v>
      </c>
    </row>
    <row r="783" spans="1:18">
      <c r="A783" s="2">
        <v>1</v>
      </c>
      <c r="B783" s="2">
        <v>782</v>
      </c>
      <c r="C783" s="37">
        <v>95271101</v>
      </c>
      <c r="D783" s="4"/>
      <c r="E783" s="43" t="s">
        <v>698</v>
      </c>
      <c r="F783" s="2">
        <v>20250731</v>
      </c>
      <c r="G783" s="2">
        <v>20250731</v>
      </c>
      <c r="H783" s="2">
        <v>20250731</v>
      </c>
      <c r="I783" s="40" t="s">
        <v>1074</v>
      </c>
      <c r="M783" s="40" t="s">
        <v>638</v>
      </c>
      <c r="N783" s="42"/>
      <c r="P783" s="47">
        <v>307030</v>
      </c>
      <c r="R783" s="47" t="s">
        <v>699</v>
      </c>
    </row>
    <row r="784" spans="1:18">
      <c r="A784" s="2">
        <v>1</v>
      </c>
      <c r="B784" s="2">
        <v>783</v>
      </c>
      <c r="C784" s="37">
        <v>95271101</v>
      </c>
      <c r="D784" s="4"/>
      <c r="E784" s="43" t="s">
        <v>698</v>
      </c>
      <c r="F784" s="2">
        <v>20250731</v>
      </c>
      <c r="G784" s="2">
        <v>20250731</v>
      </c>
      <c r="H784" s="2">
        <v>20250731</v>
      </c>
      <c r="I784" s="40" t="s">
        <v>1099</v>
      </c>
      <c r="M784" s="40" t="s">
        <v>639</v>
      </c>
      <c r="N784" s="42"/>
      <c r="P784" s="47">
        <v>307030</v>
      </c>
      <c r="R784" s="47" t="s">
        <v>699</v>
      </c>
    </row>
    <row r="785" spans="1:18">
      <c r="A785" s="2">
        <v>1</v>
      </c>
      <c r="B785" s="2">
        <v>784</v>
      </c>
      <c r="C785" s="37">
        <v>95271101</v>
      </c>
      <c r="D785" s="4"/>
      <c r="E785" s="43" t="s">
        <v>698</v>
      </c>
      <c r="F785" s="2">
        <v>20250731</v>
      </c>
      <c r="G785" s="2">
        <v>20250731</v>
      </c>
      <c r="H785" s="2">
        <v>20250731</v>
      </c>
      <c r="I785" s="40" t="s">
        <v>1101</v>
      </c>
      <c r="M785" s="40" t="s">
        <v>640</v>
      </c>
      <c r="N785" s="42"/>
      <c r="P785" s="47">
        <v>307030</v>
      </c>
      <c r="R785" s="47" t="s">
        <v>699</v>
      </c>
    </row>
    <row r="786" spans="1:18">
      <c r="A786" s="2">
        <v>1</v>
      </c>
      <c r="B786" s="2">
        <v>785</v>
      </c>
      <c r="C786" s="37">
        <v>95271101</v>
      </c>
      <c r="D786" s="4"/>
      <c r="E786" s="43" t="s">
        <v>698</v>
      </c>
      <c r="F786" s="2">
        <v>20250731</v>
      </c>
      <c r="G786" s="2">
        <v>20250731</v>
      </c>
      <c r="H786" s="2">
        <v>20250731</v>
      </c>
      <c r="I786" s="40" t="s">
        <v>1109</v>
      </c>
      <c r="M786" s="40" t="s">
        <v>641</v>
      </c>
      <c r="N786" s="42"/>
      <c r="P786" s="47">
        <v>307030</v>
      </c>
      <c r="R786" s="47" t="s">
        <v>699</v>
      </c>
    </row>
    <row r="787" spans="1:18">
      <c r="A787" s="2">
        <v>1</v>
      </c>
      <c r="B787" s="2">
        <v>786</v>
      </c>
      <c r="C787" s="37">
        <v>95271101</v>
      </c>
      <c r="D787" s="4"/>
      <c r="E787" s="43" t="s">
        <v>698</v>
      </c>
      <c r="F787" s="2">
        <v>20250731</v>
      </c>
      <c r="G787" s="2">
        <v>20250731</v>
      </c>
      <c r="H787" s="2">
        <v>20250731</v>
      </c>
      <c r="I787" s="40" t="s">
        <v>1112</v>
      </c>
      <c r="M787" s="40" t="s">
        <v>642</v>
      </c>
      <c r="N787" s="42"/>
      <c r="P787" s="47">
        <v>307030</v>
      </c>
      <c r="R787" s="47" t="s">
        <v>699</v>
      </c>
    </row>
    <row r="788" spans="1:18">
      <c r="A788" s="2">
        <v>1</v>
      </c>
      <c r="B788" s="2">
        <v>787</v>
      </c>
      <c r="C788" s="37">
        <v>95271101</v>
      </c>
      <c r="D788" s="4"/>
      <c r="E788" s="43" t="s">
        <v>698</v>
      </c>
      <c r="F788" s="2">
        <v>20250731</v>
      </c>
      <c r="G788" s="2">
        <v>20250731</v>
      </c>
      <c r="H788" s="2">
        <v>20250731</v>
      </c>
      <c r="I788" s="40" t="s">
        <v>1116</v>
      </c>
      <c r="M788" s="40" t="s">
        <v>643</v>
      </c>
      <c r="N788" s="42"/>
      <c r="P788" s="47">
        <v>307030</v>
      </c>
      <c r="R788" s="47" t="s">
        <v>699</v>
      </c>
    </row>
    <row r="789" spans="1:18">
      <c r="A789" s="2">
        <v>1</v>
      </c>
      <c r="B789" s="2">
        <v>788</v>
      </c>
      <c r="C789" s="37">
        <v>95271101</v>
      </c>
      <c r="D789" s="4"/>
      <c r="E789" s="43" t="s">
        <v>698</v>
      </c>
      <c r="F789" s="2">
        <v>20250731</v>
      </c>
      <c r="G789" s="2">
        <v>20250731</v>
      </c>
      <c r="H789" s="2">
        <v>20250731</v>
      </c>
      <c r="I789" s="40" t="s">
        <v>1050</v>
      </c>
      <c r="M789" s="40" t="s">
        <v>172</v>
      </c>
      <c r="N789" s="42"/>
      <c r="P789" s="47">
        <v>307030</v>
      </c>
      <c r="R789" s="47" t="s">
        <v>699</v>
      </c>
    </row>
    <row r="790" spans="1:18">
      <c r="A790" s="2">
        <v>1</v>
      </c>
      <c r="B790" s="2">
        <v>789</v>
      </c>
      <c r="C790" s="37">
        <v>95271101</v>
      </c>
      <c r="D790" s="4"/>
      <c r="E790" s="43" t="s">
        <v>698</v>
      </c>
      <c r="F790" s="2">
        <v>20250731</v>
      </c>
      <c r="G790" s="2">
        <v>20250731</v>
      </c>
      <c r="H790" s="2">
        <v>20250731</v>
      </c>
      <c r="I790" s="40" t="s">
        <v>1085</v>
      </c>
      <c r="M790" s="40" t="s">
        <v>644</v>
      </c>
      <c r="N790" s="42"/>
      <c r="P790" s="47">
        <v>307030</v>
      </c>
      <c r="R790" s="47" t="s">
        <v>699</v>
      </c>
    </row>
    <row r="791" spans="1:18">
      <c r="A791" s="2">
        <v>1</v>
      </c>
      <c r="B791" s="2">
        <v>790</v>
      </c>
      <c r="C791" s="37">
        <v>95271101</v>
      </c>
      <c r="D791" s="4"/>
      <c r="E791" s="43" t="s">
        <v>698</v>
      </c>
      <c r="F791" s="2">
        <v>20250731</v>
      </c>
      <c r="G791" s="2">
        <v>20250731</v>
      </c>
      <c r="H791" s="2">
        <v>20250731</v>
      </c>
      <c r="I791" s="40" t="s">
        <v>1108</v>
      </c>
      <c r="M791" s="40" t="s">
        <v>163</v>
      </c>
      <c r="N791" s="42"/>
      <c r="P791" s="47">
        <v>307030</v>
      </c>
      <c r="R791" s="47" t="s">
        <v>699</v>
      </c>
    </row>
    <row r="792" spans="1:18">
      <c r="A792" s="2">
        <v>1</v>
      </c>
      <c r="B792" s="2">
        <v>791</v>
      </c>
      <c r="C792" s="37">
        <v>95271101</v>
      </c>
      <c r="D792" s="4"/>
      <c r="E792" s="43" t="s">
        <v>698</v>
      </c>
      <c r="F792" s="2">
        <v>20250731</v>
      </c>
      <c r="G792" s="2">
        <v>20250731</v>
      </c>
      <c r="H792" s="2">
        <v>20250731</v>
      </c>
      <c r="I792" s="40" t="s">
        <v>1064</v>
      </c>
      <c r="M792" s="40" t="s">
        <v>645</v>
      </c>
      <c r="N792" s="42"/>
      <c r="P792" s="47">
        <v>307030</v>
      </c>
      <c r="R792" s="47" t="s">
        <v>699</v>
      </c>
    </row>
    <row r="793" spans="1:18">
      <c r="A793" s="2">
        <v>1</v>
      </c>
      <c r="B793" s="2">
        <v>792</v>
      </c>
      <c r="C793" s="37">
        <v>95271101</v>
      </c>
      <c r="D793" s="4"/>
      <c r="E793" s="43" t="s">
        <v>698</v>
      </c>
      <c r="F793" s="2">
        <v>20250731</v>
      </c>
      <c r="G793" s="2">
        <v>20250731</v>
      </c>
      <c r="H793" s="2">
        <v>20250731</v>
      </c>
      <c r="I793" s="40" t="s">
        <v>1093</v>
      </c>
      <c r="M793" s="40" t="s">
        <v>646</v>
      </c>
      <c r="N793" s="42"/>
      <c r="P793" s="47">
        <v>307030</v>
      </c>
      <c r="R793" s="47" t="s">
        <v>699</v>
      </c>
    </row>
    <row r="794" spans="1:18">
      <c r="A794" s="2">
        <v>1</v>
      </c>
      <c r="B794" s="2">
        <v>793</v>
      </c>
      <c r="C794" s="37">
        <v>95271101</v>
      </c>
      <c r="D794" s="4"/>
      <c r="E794" s="43" t="s">
        <v>698</v>
      </c>
      <c r="F794" s="2">
        <v>20250731</v>
      </c>
      <c r="G794" s="2">
        <v>20250731</v>
      </c>
      <c r="H794" s="2">
        <v>20250731</v>
      </c>
      <c r="I794" s="40" t="s">
        <v>1097</v>
      </c>
      <c r="M794" s="40" t="s">
        <v>579</v>
      </c>
      <c r="N794" s="42"/>
      <c r="P794" s="47">
        <v>307030</v>
      </c>
      <c r="R794" s="47" t="s">
        <v>699</v>
      </c>
    </row>
    <row r="795" spans="1:18">
      <c r="A795" s="2">
        <v>1</v>
      </c>
      <c r="B795" s="2">
        <v>794</v>
      </c>
      <c r="C795" s="37">
        <v>95271101</v>
      </c>
      <c r="D795" s="4"/>
      <c r="E795" s="43" t="s">
        <v>698</v>
      </c>
      <c r="F795" s="2">
        <v>20250731</v>
      </c>
      <c r="G795" s="2">
        <v>20250731</v>
      </c>
      <c r="H795" s="2">
        <v>20250731</v>
      </c>
      <c r="I795" s="40" t="s">
        <v>1114</v>
      </c>
      <c r="M795" s="40" t="s">
        <v>503</v>
      </c>
      <c r="N795" s="42"/>
      <c r="P795" s="47">
        <v>307030</v>
      </c>
      <c r="R795" s="47" t="s">
        <v>699</v>
      </c>
    </row>
    <row r="796" spans="1:18">
      <c r="A796" s="2">
        <v>1</v>
      </c>
      <c r="B796" s="2">
        <v>795</v>
      </c>
      <c r="C796" s="37">
        <v>95271101</v>
      </c>
      <c r="D796" s="4"/>
      <c r="E796" s="43" t="s">
        <v>698</v>
      </c>
      <c r="F796" s="2">
        <v>20250731</v>
      </c>
      <c r="G796" s="2">
        <v>20250731</v>
      </c>
      <c r="H796" s="2">
        <v>20250731</v>
      </c>
      <c r="I796" s="40" t="s">
        <v>1115</v>
      </c>
      <c r="M796" s="40" t="s">
        <v>647</v>
      </c>
      <c r="N796" s="42"/>
      <c r="P796" s="47">
        <v>307030</v>
      </c>
      <c r="R796" s="47" t="s">
        <v>699</v>
      </c>
    </row>
    <row r="797" spans="1:18">
      <c r="A797" s="2">
        <v>1</v>
      </c>
      <c r="B797" s="2">
        <v>796</v>
      </c>
      <c r="C797" s="37">
        <v>95271101</v>
      </c>
      <c r="D797" s="4"/>
      <c r="E797" s="43" t="s">
        <v>698</v>
      </c>
      <c r="F797" s="2">
        <v>20250731</v>
      </c>
      <c r="G797" s="2">
        <v>20250731</v>
      </c>
      <c r="H797" s="2">
        <v>20250731</v>
      </c>
      <c r="I797" s="40" t="s">
        <v>1054</v>
      </c>
      <c r="M797" s="40" t="s">
        <v>648</v>
      </c>
      <c r="N797" s="42"/>
      <c r="P797" s="47">
        <v>307030</v>
      </c>
      <c r="R797" s="47" t="s">
        <v>699</v>
      </c>
    </row>
    <row r="798" spans="1:18">
      <c r="A798" s="2">
        <v>1</v>
      </c>
      <c r="B798" s="2">
        <v>797</v>
      </c>
      <c r="C798" s="37">
        <v>95271101</v>
      </c>
      <c r="D798" s="4"/>
      <c r="E798" s="43" t="s">
        <v>698</v>
      </c>
      <c r="F798" s="2">
        <v>20250731</v>
      </c>
      <c r="G798" s="2">
        <v>20250731</v>
      </c>
      <c r="H798" s="2">
        <v>20250731</v>
      </c>
      <c r="I798" s="40" t="s">
        <v>742</v>
      </c>
      <c r="M798" s="40" t="s">
        <v>649</v>
      </c>
      <c r="N798" s="42"/>
      <c r="P798" s="47">
        <v>307030</v>
      </c>
      <c r="R798" s="47" t="s">
        <v>699</v>
      </c>
    </row>
    <row r="799" spans="1:18">
      <c r="A799" s="2">
        <v>1</v>
      </c>
      <c r="B799" s="2">
        <v>798</v>
      </c>
      <c r="C799" s="37">
        <v>95271101</v>
      </c>
      <c r="D799" s="4"/>
      <c r="E799" s="43" t="s">
        <v>698</v>
      </c>
      <c r="F799" s="2">
        <v>20250731</v>
      </c>
      <c r="G799" s="2">
        <v>20250731</v>
      </c>
      <c r="H799" s="2">
        <v>20250731</v>
      </c>
      <c r="I799" s="40" t="s">
        <v>1061</v>
      </c>
      <c r="M799" s="40" t="s">
        <v>650</v>
      </c>
      <c r="N799" s="42"/>
      <c r="P799" s="47">
        <v>307030</v>
      </c>
      <c r="R799" s="47" t="s">
        <v>699</v>
      </c>
    </row>
    <row r="800" spans="1:18">
      <c r="A800" s="2">
        <v>1</v>
      </c>
      <c r="B800" s="2">
        <v>799</v>
      </c>
      <c r="C800" s="37">
        <v>95271101</v>
      </c>
      <c r="D800" s="4"/>
      <c r="E800" s="43" t="s">
        <v>698</v>
      </c>
      <c r="F800" s="2">
        <v>20250731</v>
      </c>
      <c r="G800" s="2">
        <v>20250731</v>
      </c>
      <c r="H800" s="2">
        <v>20250731</v>
      </c>
      <c r="I800" s="40" t="s">
        <v>1092</v>
      </c>
      <c r="M800" s="40" t="s">
        <v>651</v>
      </c>
      <c r="N800" s="42"/>
      <c r="P800" s="47">
        <v>307030</v>
      </c>
      <c r="R800" s="47" t="s">
        <v>699</v>
      </c>
    </row>
    <row r="801" spans="1:18">
      <c r="A801" s="2">
        <v>1</v>
      </c>
      <c r="B801" s="2">
        <v>800</v>
      </c>
      <c r="C801" s="37">
        <v>95271101</v>
      </c>
      <c r="D801" s="4"/>
      <c r="E801" s="43" t="s">
        <v>698</v>
      </c>
      <c r="F801" s="2">
        <v>20250731</v>
      </c>
      <c r="G801" s="2">
        <v>20250731</v>
      </c>
      <c r="H801" s="2">
        <v>20250731</v>
      </c>
      <c r="I801" s="40" t="s">
        <v>1094</v>
      </c>
      <c r="M801" s="40" t="s">
        <v>652</v>
      </c>
      <c r="N801" s="42"/>
      <c r="P801" s="47">
        <v>307030</v>
      </c>
      <c r="R801" s="47" t="s">
        <v>699</v>
      </c>
    </row>
    <row r="802" spans="1:18">
      <c r="A802" s="2">
        <v>1</v>
      </c>
      <c r="B802" s="2">
        <v>801</v>
      </c>
      <c r="C802" s="37">
        <v>95271101</v>
      </c>
      <c r="D802" s="4"/>
      <c r="E802" s="43" t="s">
        <v>698</v>
      </c>
      <c r="F802" s="2">
        <v>20250731</v>
      </c>
      <c r="G802" s="2">
        <v>20250731</v>
      </c>
      <c r="H802" s="2">
        <v>20250731</v>
      </c>
      <c r="I802" s="40" t="s">
        <v>1053</v>
      </c>
      <c r="M802" s="40" t="s">
        <v>653</v>
      </c>
      <c r="N802" s="42"/>
      <c r="P802" s="47">
        <v>307030</v>
      </c>
      <c r="R802" s="47" t="s">
        <v>699</v>
      </c>
    </row>
    <row r="803" spans="1:18">
      <c r="A803" s="2">
        <v>1</v>
      </c>
      <c r="B803" s="2">
        <v>802</v>
      </c>
      <c r="C803" s="37">
        <v>95271101</v>
      </c>
      <c r="D803" s="4"/>
      <c r="E803" s="43" t="s">
        <v>698</v>
      </c>
      <c r="F803" s="2">
        <v>20250731</v>
      </c>
      <c r="G803" s="2">
        <v>20250731</v>
      </c>
      <c r="H803" s="2">
        <v>20250731</v>
      </c>
      <c r="I803" s="40" t="s">
        <v>1055</v>
      </c>
      <c r="M803" s="40" t="s">
        <v>654</v>
      </c>
      <c r="N803" s="42"/>
      <c r="P803" s="47">
        <v>307030</v>
      </c>
      <c r="R803" s="47" t="s">
        <v>699</v>
      </c>
    </row>
    <row r="804" spans="1:18">
      <c r="A804" s="2">
        <v>1</v>
      </c>
      <c r="B804" s="2">
        <v>803</v>
      </c>
      <c r="C804" s="37">
        <v>95271101</v>
      </c>
      <c r="D804" s="4"/>
      <c r="E804" s="43" t="s">
        <v>698</v>
      </c>
      <c r="F804" s="2">
        <v>20250731</v>
      </c>
      <c r="G804" s="2">
        <v>20250731</v>
      </c>
      <c r="H804" s="2">
        <v>20250731</v>
      </c>
      <c r="I804" s="40" t="s">
        <v>743</v>
      </c>
      <c r="M804" s="40" t="s">
        <v>655</v>
      </c>
      <c r="N804" s="42"/>
      <c r="P804" s="47">
        <v>307030</v>
      </c>
      <c r="R804" s="47" t="s">
        <v>699</v>
      </c>
    </row>
    <row r="805" spans="1:18">
      <c r="A805" s="2">
        <v>1</v>
      </c>
      <c r="B805" s="2">
        <v>804</v>
      </c>
      <c r="C805" s="37">
        <v>95271101</v>
      </c>
      <c r="D805" s="4"/>
      <c r="E805" s="43" t="s">
        <v>698</v>
      </c>
      <c r="F805" s="2">
        <v>20250731</v>
      </c>
      <c r="G805" s="2">
        <v>20250731</v>
      </c>
      <c r="H805" s="2">
        <v>20250731</v>
      </c>
      <c r="I805" s="40" t="s">
        <v>1121</v>
      </c>
      <c r="M805" s="40" t="s">
        <v>656</v>
      </c>
      <c r="N805" s="42"/>
      <c r="P805" s="47">
        <v>307030</v>
      </c>
      <c r="R805" s="47" t="s">
        <v>699</v>
      </c>
    </row>
    <row r="806" spans="1:18">
      <c r="A806" s="2">
        <v>1</v>
      </c>
      <c r="B806" s="2">
        <v>805</v>
      </c>
      <c r="C806" s="37">
        <v>95271101</v>
      </c>
      <c r="D806" s="4"/>
      <c r="E806" s="43" t="s">
        <v>698</v>
      </c>
      <c r="F806" s="2">
        <v>20250731</v>
      </c>
      <c r="G806" s="2">
        <v>20250731</v>
      </c>
      <c r="H806" s="2">
        <v>20250731</v>
      </c>
      <c r="I806" s="40" t="s">
        <v>1167</v>
      </c>
      <c r="M806" s="40" t="s">
        <v>242</v>
      </c>
      <c r="N806" s="42"/>
      <c r="P806" s="47">
        <v>307030</v>
      </c>
      <c r="R806" s="47" t="s">
        <v>699</v>
      </c>
    </row>
    <row r="807" spans="1:18">
      <c r="A807" s="2">
        <v>1</v>
      </c>
      <c r="B807" s="2">
        <v>806</v>
      </c>
      <c r="C807" s="37">
        <v>95271101</v>
      </c>
      <c r="D807" s="4"/>
      <c r="E807" s="43" t="s">
        <v>698</v>
      </c>
      <c r="F807" s="2">
        <v>20250731</v>
      </c>
      <c r="G807" s="2">
        <v>20250731</v>
      </c>
      <c r="H807" s="2">
        <v>20250731</v>
      </c>
      <c r="I807" s="40" t="s">
        <v>1168</v>
      </c>
      <c r="M807" s="40" t="s">
        <v>657</v>
      </c>
      <c r="N807" s="42"/>
      <c r="P807" s="47">
        <v>307030</v>
      </c>
      <c r="R807" s="47" t="s">
        <v>699</v>
      </c>
    </row>
    <row r="808" spans="1:18">
      <c r="A808" s="2">
        <v>1</v>
      </c>
      <c r="B808" s="2">
        <v>807</v>
      </c>
      <c r="C808" s="37">
        <v>95271101</v>
      </c>
      <c r="D808" s="4"/>
      <c r="E808" s="43" t="s">
        <v>698</v>
      </c>
      <c r="F808" s="2">
        <v>20250731</v>
      </c>
      <c r="G808" s="2">
        <v>20250731</v>
      </c>
      <c r="H808" s="2">
        <v>20250731</v>
      </c>
      <c r="I808" s="40" t="s">
        <v>1171</v>
      </c>
      <c r="M808" s="40" t="s">
        <v>163</v>
      </c>
      <c r="N808" s="42"/>
      <c r="P808" s="47">
        <v>307030</v>
      </c>
      <c r="R808" s="47" t="s">
        <v>699</v>
      </c>
    </row>
    <row r="809" spans="1:18">
      <c r="A809" s="2">
        <v>1</v>
      </c>
      <c r="B809" s="2">
        <v>808</v>
      </c>
      <c r="C809" s="37">
        <v>95271101</v>
      </c>
      <c r="D809" s="4"/>
      <c r="E809" s="43" t="s">
        <v>698</v>
      </c>
      <c r="F809" s="2">
        <v>20250731</v>
      </c>
      <c r="G809" s="2">
        <v>20250731</v>
      </c>
      <c r="H809" s="2">
        <v>20250731</v>
      </c>
      <c r="I809" s="40" t="s">
        <v>1056</v>
      </c>
      <c r="M809" s="40" t="s">
        <v>658</v>
      </c>
      <c r="N809" s="42"/>
      <c r="P809" s="47">
        <v>307030</v>
      </c>
      <c r="R809" s="47" t="s">
        <v>699</v>
      </c>
    </row>
    <row r="810" spans="1:18">
      <c r="A810" s="2">
        <v>1</v>
      </c>
      <c r="B810" s="2">
        <v>809</v>
      </c>
      <c r="C810" s="37">
        <v>95271101</v>
      </c>
      <c r="D810" s="4"/>
      <c r="E810" s="43" t="s">
        <v>698</v>
      </c>
      <c r="F810" s="2">
        <v>20250731</v>
      </c>
      <c r="G810" s="2">
        <v>20250731</v>
      </c>
      <c r="H810" s="2">
        <v>20250731</v>
      </c>
      <c r="I810" s="40" t="s">
        <v>1062</v>
      </c>
      <c r="M810" s="40" t="s">
        <v>659</v>
      </c>
      <c r="N810" s="42"/>
      <c r="P810" s="47">
        <v>307030</v>
      </c>
      <c r="R810" s="47" t="s">
        <v>699</v>
      </c>
    </row>
    <row r="811" spans="1:18">
      <c r="A811" s="2">
        <v>1</v>
      </c>
      <c r="B811" s="2">
        <v>810</v>
      </c>
      <c r="C811" s="37">
        <v>95271101</v>
      </c>
      <c r="D811" s="4"/>
      <c r="E811" s="43" t="s">
        <v>698</v>
      </c>
      <c r="F811" s="2">
        <v>20250731</v>
      </c>
      <c r="G811" s="2">
        <v>20250731</v>
      </c>
      <c r="H811" s="2">
        <v>20250731</v>
      </c>
      <c r="I811" s="40" t="s">
        <v>1164</v>
      </c>
      <c r="M811" s="40" t="s">
        <v>660</v>
      </c>
      <c r="N811" s="42"/>
      <c r="P811" s="47">
        <v>307030</v>
      </c>
      <c r="R811" s="47" t="s">
        <v>699</v>
      </c>
    </row>
    <row r="812" spans="1:18">
      <c r="A812" s="2">
        <v>1</v>
      </c>
      <c r="B812" s="2">
        <v>811</v>
      </c>
      <c r="C812" s="37">
        <v>95271101</v>
      </c>
      <c r="D812" s="4"/>
      <c r="E812" s="43" t="s">
        <v>698</v>
      </c>
      <c r="F812" s="2">
        <v>20250731</v>
      </c>
      <c r="G812" s="2">
        <v>20250731</v>
      </c>
      <c r="H812" s="2">
        <v>20250731</v>
      </c>
      <c r="I812" s="40" t="s">
        <v>1105</v>
      </c>
      <c r="M812" s="40" t="s">
        <v>661</v>
      </c>
      <c r="N812" s="42"/>
      <c r="P812" s="47">
        <v>307030</v>
      </c>
      <c r="R812" s="47" t="s">
        <v>699</v>
      </c>
    </row>
    <row r="813" spans="1:18">
      <c r="A813" s="2">
        <v>1</v>
      </c>
      <c r="B813" s="2">
        <v>812</v>
      </c>
      <c r="C813" s="37">
        <v>95271101</v>
      </c>
      <c r="D813" s="4"/>
      <c r="E813" s="43" t="s">
        <v>698</v>
      </c>
      <c r="F813" s="2">
        <v>20250731</v>
      </c>
      <c r="G813" s="2">
        <v>20250731</v>
      </c>
      <c r="H813" s="2">
        <v>20250731</v>
      </c>
      <c r="I813" s="40" t="s">
        <v>1106</v>
      </c>
      <c r="M813" s="40" t="s">
        <v>662</v>
      </c>
      <c r="N813" s="42"/>
      <c r="P813" s="47">
        <v>307030</v>
      </c>
      <c r="R813" s="47" t="s">
        <v>699</v>
      </c>
    </row>
    <row r="814" spans="1:18">
      <c r="A814" s="2">
        <v>1</v>
      </c>
      <c r="B814" s="2">
        <v>813</v>
      </c>
      <c r="C814" s="37">
        <v>95271101</v>
      </c>
      <c r="D814" s="4"/>
      <c r="E814" s="43" t="s">
        <v>698</v>
      </c>
      <c r="F814" s="2">
        <v>20250731</v>
      </c>
      <c r="G814" s="2">
        <v>20250731</v>
      </c>
      <c r="H814" s="2">
        <v>20250731</v>
      </c>
      <c r="I814" s="40" t="s">
        <v>1051</v>
      </c>
      <c r="M814" s="40" t="s">
        <v>663</v>
      </c>
      <c r="N814" s="42"/>
      <c r="P814" s="47">
        <v>307030</v>
      </c>
      <c r="R814" s="47" t="s">
        <v>699</v>
      </c>
    </row>
    <row r="815" spans="1:18">
      <c r="A815" s="2">
        <v>1</v>
      </c>
      <c r="B815" s="2">
        <v>814</v>
      </c>
      <c r="C815" s="37">
        <v>95271101</v>
      </c>
      <c r="D815" s="4"/>
      <c r="E815" s="43" t="s">
        <v>698</v>
      </c>
      <c r="F815" s="2">
        <v>20250731</v>
      </c>
      <c r="G815" s="2">
        <v>20250731</v>
      </c>
      <c r="H815" s="2">
        <v>20250731</v>
      </c>
      <c r="I815" s="40" t="s">
        <v>1058</v>
      </c>
      <c r="M815" s="40" t="s">
        <v>664</v>
      </c>
      <c r="N815" s="42"/>
      <c r="P815" s="47">
        <v>307030</v>
      </c>
      <c r="R815" s="47" t="s">
        <v>699</v>
      </c>
    </row>
    <row r="816" spans="1:18">
      <c r="A816" s="2">
        <v>1</v>
      </c>
      <c r="B816" s="2">
        <v>815</v>
      </c>
      <c r="C816" s="37">
        <v>95271101</v>
      </c>
      <c r="D816" s="4"/>
      <c r="E816" s="43" t="s">
        <v>698</v>
      </c>
      <c r="F816" s="2">
        <v>20250731</v>
      </c>
      <c r="G816" s="2">
        <v>20250731</v>
      </c>
      <c r="H816" s="2">
        <v>20250731</v>
      </c>
      <c r="I816" s="40" t="s">
        <v>1080</v>
      </c>
      <c r="M816" s="40" t="s">
        <v>665</v>
      </c>
      <c r="N816" s="42"/>
      <c r="P816" s="47">
        <v>307030</v>
      </c>
      <c r="R816" s="47" t="s">
        <v>699</v>
      </c>
    </row>
    <row r="817" spans="1:18">
      <c r="A817" s="2">
        <v>1</v>
      </c>
      <c r="B817" s="2">
        <v>816</v>
      </c>
      <c r="C817" s="37">
        <v>95271101</v>
      </c>
      <c r="D817" s="4"/>
      <c r="E817" s="43" t="s">
        <v>698</v>
      </c>
      <c r="F817" s="2">
        <v>20250731</v>
      </c>
      <c r="G817" s="2">
        <v>20250731</v>
      </c>
      <c r="H817" s="2">
        <v>20250731</v>
      </c>
      <c r="I817" s="40" t="s">
        <v>1084</v>
      </c>
      <c r="M817" s="40" t="s">
        <v>666</v>
      </c>
      <c r="N817" s="42"/>
      <c r="P817" s="47">
        <v>307030</v>
      </c>
      <c r="R817" s="47" t="s">
        <v>699</v>
      </c>
    </row>
    <row r="818" spans="1:18">
      <c r="A818" s="2">
        <v>1</v>
      </c>
      <c r="B818" s="2">
        <v>817</v>
      </c>
      <c r="C818" s="37">
        <v>95271101</v>
      </c>
      <c r="D818" s="4"/>
      <c r="E818" s="43" t="s">
        <v>698</v>
      </c>
      <c r="F818" s="2">
        <v>20250731</v>
      </c>
      <c r="G818" s="2">
        <v>20250731</v>
      </c>
      <c r="H818" s="2">
        <v>20250731</v>
      </c>
      <c r="I818" s="40" t="s">
        <v>1079</v>
      </c>
      <c r="M818" s="40" t="s">
        <v>667</v>
      </c>
      <c r="N818" s="42"/>
      <c r="P818" s="47">
        <v>307030</v>
      </c>
      <c r="R818" s="47" t="s">
        <v>699</v>
      </c>
    </row>
    <row r="819" spans="1:18">
      <c r="A819" s="2">
        <v>1</v>
      </c>
      <c r="B819" s="2">
        <v>818</v>
      </c>
      <c r="C819" s="37">
        <v>95271101</v>
      </c>
      <c r="D819" s="4"/>
      <c r="E819" s="43" t="s">
        <v>698</v>
      </c>
      <c r="F819" s="2">
        <v>20250731</v>
      </c>
      <c r="G819" s="2">
        <v>20250731</v>
      </c>
      <c r="H819" s="2">
        <v>20250731</v>
      </c>
      <c r="I819" s="40" t="s">
        <v>1166</v>
      </c>
      <c r="M819" s="40" t="s">
        <v>668</v>
      </c>
      <c r="N819" s="42"/>
      <c r="P819" s="47">
        <v>307030</v>
      </c>
      <c r="R819" s="47" t="s">
        <v>699</v>
      </c>
    </row>
    <row r="820" spans="1:18">
      <c r="A820" s="2">
        <v>1</v>
      </c>
      <c r="B820" s="2">
        <v>819</v>
      </c>
      <c r="C820" s="37">
        <v>95271101</v>
      </c>
      <c r="D820" s="4"/>
      <c r="E820" s="43" t="s">
        <v>698</v>
      </c>
      <c r="F820" s="2">
        <v>20250731</v>
      </c>
      <c r="G820" s="2">
        <v>20250731</v>
      </c>
      <c r="H820" s="2">
        <v>20250731</v>
      </c>
      <c r="I820" s="40" t="s">
        <v>1088</v>
      </c>
      <c r="M820" s="40" t="s">
        <v>669</v>
      </c>
      <c r="N820" s="42"/>
      <c r="P820" s="47">
        <v>307030</v>
      </c>
      <c r="R820" s="47" t="s">
        <v>699</v>
      </c>
    </row>
    <row r="821" spans="1:18">
      <c r="A821" s="2">
        <v>1</v>
      </c>
      <c r="B821" s="2">
        <v>820</v>
      </c>
      <c r="C821" s="37">
        <v>95271101</v>
      </c>
      <c r="D821" s="4"/>
      <c r="E821" s="43" t="s">
        <v>698</v>
      </c>
      <c r="F821" s="2">
        <v>20250731</v>
      </c>
      <c r="G821" s="2">
        <v>20250731</v>
      </c>
      <c r="H821" s="2">
        <v>20250731</v>
      </c>
      <c r="I821" s="40" t="s">
        <v>1089</v>
      </c>
      <c r="M821" s="40" t="s">
        <v>670</v>
      </c>
      <c r="N821" s="42"/>
      <c r="P821" s="47">
        <v>307030</v>
      </c>
      <c r="R821" s="47" t="s">
        <v>699</v>
      </c>
    </row>
    <row r="822" spans="1:18">
      <c r="A822" s="2">
        <v>1</v>
      </c>
      <c r="B822" s="2">
        <v>821</v>
      </c>
      <c r="C822" s="37">
        <v>95271101</v>
      </c>
      <c r="D822" s="4"/>
      <c r="E822" s="43" t="s">
        <v>698</v>
      </c>
      <c r="F822" s="2">
        <v>20250731</v>
      </c>
      <c r="G822" s="2">
        <v>20250731</v>
      </c>
      <c r="H822" s="2">
        <v>20250731</v>
      </c>
      <c r="I822" s="40" t="s">
        <v>1090</v>
      </c>
      <c r="M822" s="40" t="s">
        <v>671</v>
      </c>
      <c r="N822" s="42"/>
      <c r="P822" s="47">
        <v>307030</v>
      </c>
      <c r="R822" s="47" t="s">
        <v>699</v>
      </c>
    </row>
    <row r="823" spans="1:18">
      <c r="A823" s="2">
        <v>1</v>
      </c>
      <c r="B823" s="2">
        <v>822</v>
      </c>
      <c r="C823" s="37">
        <v>95271101</v>
      </c>
      <c r="D823" s="4"/>
      <c r="E823" s="43" t="s">
        <v>698</v>
      </c>
      <c r="F823" s="2">
        <v>20250731</v>
      </c>
      <c r="G823" s="2">
        <v>20250731</v>
      </c>
      <c r="H823" s="2">
        <v>20250731</v>
      </c>
      <c r="I823" s="40" t="s">
        <v>1044</v>
      </c>
      <c r="M823" s="40" t="s">
        <v>672</v>
      </c>
      <c r="N823" s="42"/>
      <c r="P823" s="47">
        <v>307030</v>
      </c>
      <c r="R823" s="47" t="s">
        <v>699</v>
      </c>
    </row>
    <row r="824" spans="1:18">
      <c r="A824" s="2">
        <v>1</v>
      </c>
      <c r="B824" s="2">
        <v>823</v>
      </c>
      <c r="C824" s="37">
        <v>95271101</v>
      </c>
      <c r="D824" s="4"/>
      <c r="E824" s="43" t="s">
        <v>698</v>
      </c>
      <c r="F824" s="2">
        <v>20250731</v>
      </c>
      <c r="G824" s="2">
        <v>20250731</v>
      </c>
      <c r="H824" s="2">
        <v>20250731</v>
      </c>
      <c r="I824" s="40" t="s">
        <v>1072</v>
      </c>
      <c r="M824" s="40" t="s">
        <v>673</v>
      </c>
      <c r="N824" s="42"/>
      <c r="P824" s="47">
        <v>307030</v>
      </c>
      <c r="R824" s="47" t="s">
        <v>699</v>
      </c>
    </row>
    <row r="825" spans="1:18">
      <c r="A825" s="2">
        <v>1</v>
      </c>
      <c r="B825" s="2">
        <v>824</v>
      </c>
      <c r="C825" s="37">
        <v>95271101</v>
      </c>
      <c r="D825" s="4"/>
      <c r="E825" s="43" t="s">
        <v>698</v>
      </c>
      <c r="F825" s="2">
        <v>20250731</v>
      </c>
      <c r="G825" s="2">
        <v>20250731</v>
      </c>
      <c r="H825" s="2">
        <v>20250731</v>
      </c>
      <c r="I825" s="40" t="s">
        <v>1057</v>
      </c>
      <c r="M825" s="40" t="s">
        <v>674</v>
      </c>
      <c r="N825" s="42"/>
      <c r="P825" s="47">
        <v>307030</v>
      </c>
      <c r="R825" s="47" t="s">
        <v>699</v>
      </c>
    </row>
    <row r="826" spans="1:18">
      <c r="A826" s="2">
        <v>1</v>
      </c>
      <c r="B826" s="2">
        <v>825</v>
      </c>
      <c r="C826" s="37">
        <v>95271101</v>
      </c>
      <c r="D826" s="4"/>
      <c r="E826" s="43" t="s">
        <v>698</v>
      </c>
      <c r="F826" s="2">
        <v>20250731</v>
      </c>
      <c r="G826" s="2">
        <v>20250731</v>
      </c>
      <c r="H826" s="2">
        <v>20250731</v>
      </c>
      <c r="I826" s="40" t="s">
        <v>1066</v>
      </c>
      <c r="M826" s="40" t="s">
        <v>675</v>
      </c>
      <c r="N826" s="42"/>
      <c r="P826" s="47">
        <v>307030</v>
      </c>
      <c r="R826" s="47" t="s">
        <v>699</v>
      </c>
    </row>
    <row r="827" spans="1:18">
      <c r="A827" s="2">
        <v>1</v>
      </c>
      <c r="B827" s="2">
        <v>826</v>
      </c>
      <c r="C827" s="37">
        <v>95271101</v>
      </c>
      <c r="D827" s="4"/>
      <c r="E827" s="43" t="s">
        <v>698</v>
      </c>
      <c r="F827" s="2">
        <v>20250731</v>
      </c>
      <c r="G827" s="2">
        <v>20250731</v>
      </c>
      <c r="H827" s="2">
        <v>20250731</v>
      </c>
      <c r="I827" s="40" t="s">
        <v>1086</v>
      </c>
      <c r="M827" s="40" t="s">
        <v>676</v>
      </c>
      <c r="N827" s="42"/>
      <c r="P827" s="47">
        <v>307030</v>
      </c>
      <c r="R827" s="47" t="s">
        <v>699</v>
      </c>
    </row>
    <row r="828" spans="1:18">
      <c r="A828" s="2">
        <v>1</v>
      </c>
      <c r="B828" s="2">
        <v>827</v>
      </c>
      <c r="C828" s="37">
        <v>95271101</v>
      </c>
      <c r="D828" s="4"/>
      <c r="E828" s="43" t="s">
        <v>698</v>
      </c>
      <c r="F828" s="2">
        <v>20250731</v>
      </c>
      <c r="G828" s="2">
        <v>20250731</v>
      </c>
      <c r="H828" s="2">
        <v>20250731</v>
      </c>
      <c r="I828" s="40" t="s">
        <v>1120</v>
      </c>
      <c r="M828" s="40" t="s">
        <v>677</v>
      </c>
      <c r="N828" s="42"/>
      <c r="P828" s="47">
        <v>307030</v>
      </c>
      <c r="R828" s="47" t="s">
        <v>699</v>
      </c>
    </row>
    <row r="829" spans="1:18">
      <c r="A829" s="2">
        <v>1</v>
      </c>
      <c r="B829" s="2">
        <v>828</v>
      </c>
      <c r="C829" s="37">
        <v>95271101</v>
      </c>
      <c r="D829" s="4"/>
      <c r="E829" s="43" t="s">
        <v>698</v>
      </c>
      <c r="F829" s="2">
        <v>20250731</v>
      </c>
      <c r="G829" s="2">
        <v>20250731</v>
      </c>
      <c r="H829" s="2">
        <v>20250731</v>
      </c>
      <c r="I829" s="40" t="s">
        <v>1048</v>
      </c>
      <c r="M829" s="40" t="s">
        <v>678</v>
      </c>
      <c r="N829" s="42"/>
      <c r="P829" s="47">
        <v>307030</v>
      </c>
      <c r="R829" s="47" t="s">
        <v>699</v>
      </c>
    </row>
    <row r="830" spans="1:18">
      <c r="A830" s="2">
        <v>1</v>
      </c>
      <c r="B830" s="2">
        <v>829</v>
      </c>
      <c r="C830" s="37">
        <v>95271101</v>
      </c>
      <c r="D830" s="4"/>
      <c r="E830" s="43" t="s">
        <v>698</v>
      </c>
      <c r="F830" s="2">
        <v>20250731</v>
      </c>
      <c r="G830" s="2">
        <v>20250731</v>
      </c>
      <c r="H830" s="2">
        <v>20250731</v>
      </c>
      <c r="I830" s="40" t="s">
        <v>1052</v>
      </c>
      <c r="M830" s="40" t="s">
        <v>679</v>
      </c>
      <c r="N830" s="42"/>
      <c r="P830" s="47">
        <v>307030</v>
      </c>
      <c r="R830" s="47" t="s">
        <v>699</v>
      </c>
    </row>
    <row r="831" spans="1:18">
      <c r="A831" s="2">
        <v>1</v>
      </c>
      <c r="B831" s="2">
        <v>830</v>
      </c>
      <c r="C831" s="37">
        <v>95271101</v>
      </c>
      <c r="D831" s="4"/>
      <c r="E831" s="43" t="s">
        <v>698</v>
      </c>
      <c r="F831" s="2">
        <v>20250731</v>
      </c>
      <c r="G831" s="2">
        <v>20250731</v>
      </c>
      <c r="H831" s="2">
        <v>20250731</v>
      </c>
      <c r="I831" s="40" t="s">
        <v>1117</v>
      </c>
      <c r="M831" s="40" t="s">
        <v>475</v>
      </c>
      <c r="N831" s="42"/>
      <c r="P831" s="47">
        <v>307030</v>
      </c>
      <c r="R831" s="47" t="s">
        <v>699</v>
      </c>
    </row>
    <row r="832" spans="1:18">
      <c r="A832" s="2">
        <v>1</v>
      </c>
      <c r="B832" s="2">
        <v>831</v>
      </c>
      <c r="C832" s="37">
        <v>95271101</v>
      </c>
      <c r="D832" s="4"/>
      <c r="E832" s="43" t="s">
        <v>698</v>
      </c>
      <c r="F832" s="2">
        <v>20250731</v>
      </c>
      <c r="G832" s="2">
        <v>20250731</v>
      </c>
      <c r="H832" s="2">
        <v>20250731</v>
      </c>
      <c r="I832" s="40" t="s">
        <v>1059</v>
      </c>
      <c r="M832" s="40" t="s">
        <v>680</v>
      </c>
      <c r="N832" s="42"/>
      <c r="P832" s="47">
        <v>307030</v>
      </c>
      <c r="R832" s="47" t="s">
        <v>699</v>
      </c>
    </row>
    <row r="833" spans="1:18">
      <c r="A833" s="2">
        <v>1</v>
      </c>
      <c r="B833" s="2">
        <v>832</v>
      </c>
      <c r="C833" s="37">
        <v>95271101</v>
      </c>
      <c r="D833" s="4"/>
      <c r="E833" s="43" t="s">
        <v>698</v>
      </c>
      <c r="F833" s="2">
        <v>20250731</v>
      </c>
      <c r="G833" s="2">
        <v>20250731</v>
      </c>
      <c r="H833" s="2">
        <v>20250731</v>
      </c>
      <c r="I833" s="40" t="s">
        <v>1068</v>
      </c>
      <c r="M833" s="40" t="s">
        <v>425</v>
      </c>
      <c r="N833" s="42"/>
      <c r="P833" s="47">
        <v>307030</v>
      </c>
      <c r="R833" s="47" t="s">
        <v>699</v>
      </c>
    </row>
    <row r="834" spans="1:18">
      <c r="A834" s="2">
        <v>1</v>
      </c>
      <c r="B834" s="2">
        <v>833</v>
      </c>
      <c r="C834" s="37">
        <v>95271101</v>
      </c>
      <c r="D834" s="4"/>
      <c r="E834" s="43" t="s">
        <v>698</v>
      </c>
      <c r="F834" s="2">
        <v>20250731</v>
      </c>
      <c r="G834" s="2">
        <v>20250731</v>
      </c>
      <c r="H834" s="2">
        <v>20250731</v>
      </c>
      <c r="I834" s="40" t="s">
        <v>1070</v>
      </c>
      <c r="M834" s="40" t="s">
        <v>681</v>
      </c>
      <c r="N834" s="42"/>
      <c r="P834" s="47">
        <v>307030</v>
      </c>
      <c r="R834" s="47" t="s">
        <v>699</v>
      </c>
    </row>
    <row r="835" spans="1:18">
      <c r="A835" s="2">
        <v>1</v>
      </c>
      <c r="B835" s="2">
        <v>834</v>
      </c>
      <c r="C835" s="37">
        <v>95271101</v>
      </c>
      <c r="D835" s="4"/>
      <c r="E835" s="43" t="s">
        <v>698</v>
      </c>
      <c r="F835" s="2">
        <v>20250731</v>
      </c>
      <c r="G835" s="2">
        <v>20250731</v>
      </c>
      <c r="H835" s="2">
        <v>20250731</v>
      </c>
      <c r="I835" s="40" t="s">
        <v>1071</v>
      </c>
      <c r="M835" s="40" t="s">
        <v>682</v>
      </c>
      <c r="N835" s="42"/>
      <c r="P835" s="47">
        <v>307030</v>
      </c>
      <c r="R835" s="47" t="s">
        <v>699</v>
      </c>
    </row>
    <row r="836" spans="1:18">
      <c r="A836" s="2">
        <v>1</v>
      </c>
      <c r="B836" s="2">
        <v>835</v>
      </c>
      <c r="C836" s="37">
        <v>95271101</v>
      </c>
      <c r="D836" s="4"/>
      <c r="E836" s="43" t="s">
        <v>698</v>
      </c>
      <c r="F836" s="2">
        <v>20250731</v>
      </c>
      <c r="G836" s="2">
        <v>20250731</v>
      </c>
      <c r="H836" s="2">
        <v>20250731</v>
      </c>
      <c r="I836" s="40" t="s">
        <v>1073</v>
      </c>
      <c r="M836" s="40" t="s">
        <v>683</v>
      </c>
      <c r="N836" s="42"/>
      <c r="P836" s="47">
        <v>307030</v>
      </c>
      <c r="R836" s="47" t="s">
        <v>699</v>
      </c>
    </row>
    <row r="837" spans="1:18">
      <c r="A837" s="2">
        <v>1</v>
      </c>
      <c r="B837" s="2">
        <v>836</v>
      </c>
      <c r="C837" s="37">
        <v>95271101</v>
      </c>
      <c r="D837" s="4"/>
      <c r="E837" s="43" t="s">
        <v>698</v>
      </c>
      <c r="F837" s="2">
        <v>20250731</v>
      </c>
      <c r="G837" s="2">
        <v>20250731</v>
      </c>
      <c r="H837" s="2">
        <v>20250731</v>
      </c>
      <c r="I837" s="40" t="s">
        <v>1082</v>
      </c>
      <c r="M837" s="40" t="s">
        <v>640</v>
      </c>
      <c r="N837" s="42"/>
      <c r="P837" s="47">
        <v>307030</v>
      </c>
      <c r="R837" s="47" t="s">
        <v>699</v>
      </c>
    </row>
    <row r="838" spans="1:18">
      <c r="A838" s="2">
        <v>1</v>
      </c>
      <c r="B838" s="2">
        <v>837</v>
      </c>
      <c r="C838" s="37">
        <v>95271101</v>
      </c>
      <c r="D838" s="4"/>
      <c r="E838" s="43" t="s">
        <v>698</v>
      </c>
      <c r="F838" s="2">
        <v>20250731</v>
      </c>
      <c r="G838" s="2">
        <v>20250731</v>
      </c>
      <c r="H838" s="2">
        <v>20250731</v>
      </c>
      <c r="I838" s="40" t="s">
        <v>1083</v>
      </c>
      <c r="M838" s="40" t="s">
        <v>684</v>
      </c>
      <c r="N838" s="42"/>
      <c r="P838" s="47">
        <v>307030</v>
      </c>
      <c r="R838" s="47" t="s">
        <v>699</v>
      </c>
    </row>
    <row r="839" spans="1:18">
      <c r="A839" s="2">
        <v>1</v>
      </c>
      <c r="B839" s="2">
        <v>838</v>
      </c>
      <c r="C839" s="37">
        <v>95271101</v>
      </c>
      <c r="D839" s="4"/>
      <c r="E839" s="43" t="s">
        <v>698</v>
      </c>
      <c r="F839" s="2">
        <v>20250731</v>
      </c>
      <c r="G839" s="2">
        <v>20250731</v>
      </c>
      <c r="H839" s="2">
        <v>20250731</v>
      </c>
      <c r="I839" s="40" t="s">
        <v>1091</v>
      </c>
      <c r="M839" s="40" t="s">
        <v>685</v>
      </c>
      <c r="N839" s="42"/>
      <c r="P839" s="47">
        <v>307030</v>
      </c>
      <c r="R839" s="47" t="s">
        <v>699</v>
      </c>
    </row>
    <row r="840" spans="1:18">
      <c r="A840" s="2">
        <v>1</v>
      </c>
      <c r="B840" s="2">
        <v>839</v>
      </c>
      <c r="C840" s="37">
        <v>95271101</v>
      </c>
      <c r="D840" s="4"/>
      <c r="E840" s="43" t="s">
        <v>698</v>
      </c>
      <c r="F840" s="2">
        <v>20250731</v>
      </c>
      <c r="G840" s="2">
        <v>20250731</v>
      </c>
      <c r="H840" s="2">
        <v>20250731</v>
      </c>
      <c r="I840" s="40" t="s">
        <v>1096</v>
      </c>
      <c r="M840" s="40" t="s">
        <v>211</v>
      </c>
      <c r="N840" s="42"/>
      <c r="P840" s="47">
        <v>307030</v>
      </c>
      <c r="R840" s="47" t="s">
        <v>699</v>
      </c>
    </row>
    <row r="841" spans="1:18">
      <c r="A841" s="2">
        <v>1</v>
      </c>
      <c r="B841" s="2">
        <v>840</v>
      </c>
      <c r="C841" s="37">
        <v>95271101</v>
      </c>
      <c r="D841" s="4"/>
      <c r="E841" s="43" t="s">
        <v>698</v>
      </c>
      <c r="F841" s="2">
        <v>20250731</v>
      </c>
      <c r="G841" s="2">
        <v>20250731</v>
      </c>
      <c r="H841" s="2">
        <v>20250731</v>
      </c>
      <c r="I841" s="40" t="s">
        <v>1102</v>
      </c>
      <c r="M841" s="40" t="s">
        <v>686</v>
      </c>
      <c r="N841" s="42"/>
      <c r="P841" s="47">
        <v>307030</v>
      </c>
      <c r="R841" s="47" t="s">
        <v>699</v>
      </c>
    </row>
    <row r="842" spans="1:18">
      <c r="A842" s="2">
        <v>1</v>
      </c>
      <c r="B842" s="2">
        <v>841</v>
      </c>
      <c r="C842" s="37">
        <v>95271101</v>
      </c>
      <c r="D842" s="4"/>
      <c r="E842" s="43" t="s">
        <v>698</v>
      </c>
      <c r="F842" s="2">
        <v>20250731</v>
      </c>
      <c r="G842" s="2">
        <v>20250731</v>
      </c>
      <c r="H842" s="2">
        <v>20250731</v>
      </c>
      <c r="I842" s="40" t="s">
        <v>1165</v>
      </c>
      <c r="M842" s="40" t="s">
        <v>163</v>
      </c>
      <c r="N842" s="42"/>
      <c r="P842" s="47">
        <v>307030</v>
      </c>
      <c r="R842" s="47" t="s">
        <v>699</v>
      </c>
    </row>
    <row r="843" spans="1:18">
      <c r="A843" s="2">
        <v>1</v>
      </c>
      <c r="B843" s="2">
        <v>842</v>
      </c>
      <c r="C843" s="37">
        <v>95271101</v>
      </c>
      <c r="D843" s="4"/>
      <c r="E843" s="43" t="s">
        <v>698</v>
      </c>
      <c r="F843" s="2">
        <v>20250731</v>
      </c>
      <c r="G843" s="2">
        <v>20250731</v>
      </c>
      <c r="H843" s="2">
        <v>20250731</v>
      </c>
      <c r="I843" s="40" t="s">
        <v>1107</v>
      </c>
      <c r="M843" s="40" t="s">
        <v>680</v>
      </c>
      <c r="N843" s="42"/>
      <c r="P843" s="47">
        <v>307030</v>
      </c>
      <c r="R843" s="47" t="s">
        <v>699</v>
      </c>
    </row>
    <row r="844" spans="1:18">
      <c r="A844" s="2">
        <v>1</v>
      </c>
      <c r="B844" s="2">
        <v>843</v>
      </c>
      <c r="C844" s="37">
        <v>95271101</v>
      </c>
      <c r="D844" s="4"/>
      <c r="E844" s="43" t="s">
        <v>698</v>
      </c>
      <c r="F844" s="2">
        <v>20250731</v>
      </c>
      <c r="G844" s="2">
        <v>20250731</v>
      </c>
      <c r="H844" s="2">
        <v>20250731</v>
      </c>
      <c r="I844" s="40" t="s">
        <v>1111</v>
      </c>
      <c r="M844" s="40" t="s">
        <v>162</v>
      </c>
      <c r="N844" s="42"/>
      <c r="P844" s="47">
        <v>307030</v>
      </c>
      <c r="R844" s="47" t="s">
        <v>699</v>
      </c>
    </row>
    <row r="845" spans="1:18">
      <c r="A845" s="2">
        <v>1</v>
      </c>
      <c r="B845" s="2">
        <v>844</v>
      </c>
      <c r="C845" s="37">
        <v>95271101</v>
      </c>
      <c r="D845" s="4"/>
      <c r="E845" s="43" t="s">
        <v>698</v>
      </c>
      <c r="F845" s="2">
        <v>20250731</v>
      </c>
      <c r="G845" s="2">
        <v>20250731</v>
      </c>
      <c r="H845" s="2">
        <v>20250731</v>
      </c>
      <c r="I845" s="40" t="s">
        <v>1118</v>
      </c>
      <c r="M845" s="40" t="s">
        <v>687</v>
      </c>
      <c r="N845" s="42"/>
      <c r="P845" s="47">
        <v>307030</v>
      </c>
      <c r="R845" s="47" t="s">
        <v>699</v>
      </c>
    </row>
    <row r="846" spans="1:18">
      <c r="A846" s="2">
        <v>1</v>
      </c>
      <c r="B846" s="2">
        <v>845</v>
      </c>
      <c r="C846" s="37">
        <v>95271101</v>
      </c>
      <c r="D846" s="4"/>
      <c r="E846" s="43" t="s">
        <v>698</v>
      </c>
      <c r="F846" s="2">
        <v>20250731</v>
      </c>
      <c r="G846" s="2">
        <v>20250731</v>
      </c>
      <c r="H846" s="2">
        <v>20250731</v>
      </c>
      <c r="I846" s="40" t="s">
        <v>1122</v>
      </c>
      <c r="M846" s="40" t="s">
        <v>688</v>
      </c>
      <c r="N846" s="42"/>
      <c r="P846" s="47">
        <v>307030</v>
      </c>
      <c r="R846" s="47" t="s">
        <v>699</v>
      </c>
    </row>
  </sheetData>
  <autoFilter ref="A1:R846" xr:uid="{00000000-0001-0000-0000-000000000000}"/>
  <phoneticPr fontId="9" type="noConversion"/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7"/>
  <sheetViews>
    <sheetView workbookViewId="0">
      <pane ySplit="2" topLeftCell="A3" activePane="bottomLeft" state="frozen"/>
      <selection pane="bottomLeft" activeCell="J12" sqref="J12"/>
    </sheetView>
  </sheetViews>
  <sheetFormatPr baseColWidth="10" defaultColWidth="9.109375" defaultRowHeight="13.2"/>
  <cols>
    <col min="1" max="1" width="10.88671875" style="3" bestFit="1" customWidth="1"/>
    <col min="2" max="2" width="15.6640625" style="3" bestFit="1" customWidth="1"/>
    <col min="3" max="3" width="15.33203125" style="1" bestFit="1" customWidth="1"/>
    <col min="4" max="4" width="30.33203125" style="1" customWidth="1"/>
    <col min="5" max="5" width="23" style="1" customWidth="1"/>
    <col min="6" max="6" width="19.5546875" style="1" customWidth="1"/>
    <col min="7" max="7" width="20.5546875" style="1" bestFit="1" customWidth="1"/>
    <col min="8" max="8" width="11.5546875" style="1" customWidth="1"/>
    <col min="9" max="9" width="13.44140625" style="4" bestFit="1" customWidth="1"/>
    <col min="10" max="10" width="11.6640625" style="4" bestFit="1" customWidth="1"/>
    <col min="11" max="11" width="16.6640625" style="4" bestFit="1" customWidth="1"/>
    <col min="12" max="12" width="13.5546875" style="4" bestFit="1" customWidth="1"/>
    <col min="13" max="13" width="13" style="4" bestFit="1" customWidth="1"/>
    <col min="14" max="14" width="13.6640625" style="4" bestFit="1" customWidth="1"/>
    <col min="15" max="15" width="11.44140625" style="2" bestFit="1" customWidth="1"/>
    <col min="16" max="16" width="18.88671875" style="2" hidden="1" customWidth="1"/>
    <col min="17" max="17" width="9.44140625" style="2" hidden="1" customWidth="1"/>
    <col min="18" max="18" width="14.33203125" style="2" hidden="1" customWidth="1"/>
    <col min="19" max="19" width="12.109375" style="2" hidden="1" customWidth="1"/>
    <col min="20" max="21" width="11.5546875" style="2" hidden="1" customWidth="1"/>
    <col min="22" max="22" width="11.44140625" style="2" hidden="1" customWidth="1"/>
    <col min="23" max="24" width="15.33203125" style="2" hidden="1" customWidth="1"/>
    <col min="25" max="25" width="10.6640625" style="2" hidden="1" customWidth="1"/>
    <col min="26" max="26" width="18.88671875" style="2" hidden="1" customWidth="1"/>
    <col min="27" max="27" width="17.44140625" style="2" hidden="1" customWidth="1"/>
    <col min="28" max="28" width="9.88671875" style="2" hidden="1" customWidth="1"/>
    <col min="29" max="29" width="10.88671875" style="2" hidden="1" customWidth="1"/>
    <col min="30" max="30" width="7.88671875" style="2" hidden="1" customWidth="1"/>
    <col min="31" max="31" width="13" style="2" hidden="1" customWidth="1"/>
    <col min="32" max="16384" width="9.109375" style="2"/>
  </cols>
  <sheetData>
    <row r="1" spans="1:3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spans="1:33">
      <c r="A2" s="10" t="s">
        <v>31</v>
      </c>
      <c r="B2" s="10" t="s">
        <v>32</v>
      </c>
      <c r="C2" s="10" t="s">
        <v>33</v>
      </c>
      <c r="D2" s="10" t="s">
        <v>34</v>
      </c>
      <c r="E2" s="10" t="s">
        <v>35</v>
      </c>
      <c r="F2" s="10" t="s">
        <v>36</v>
      </c>
      <c r="G2" s="10" t="s">
        <v>37</v>
      </c>
      <c r="H2" s="10" t="s">
        <v>38</v>
      </c>
      <c r="I2" s="10" t="s">
        <v>39</v>
      </c>
      <c r="J2" s="10" t="s">
        <v>40</v>
      </c>
      <c r="K2" s="10" t="s">
        <v>41</v>
      </c>
      <c r="L2" s="10" t="s">
        <v>42</v>
      </c>
      <c r="M2" s="10" t="s">
        <v>43</v>
      </c>
      <c r="N2" s="10" t="s">
        <v>44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45</v>
      </c>
      <c r="AF2" s="2" t="s">
        <v>63</v>
      </c>
      <c r="AG2" s="2" t="s">
        <v>64</v>
      </c>
    </row>
    <row r="3" spans="1:33">
      <c r="A3" s="3">
        <v>1</v>
      </c>
      <c r="B3" s="3">
        <v>0</v>
      </c>
      <c r="C3" s="1" t="s">
        <v>46</v>
      </c>
      <c r="E3" s="1" t="s">
        <v>65</v>
      </c>
      <c r="F3" s="1" t="s">
        <v>65</v>
      </c>
      <c r="G3" s="1" t="s">
        <v>65</v>
      </c>
      <c r="I3" s="4">
        <v>33140.959999999999</v>
      </c>
      <c r="AF3" s="2" t="e">
        <f>IF(I3="",0-IF(VLOOKUP(C3,BalanceComprobacion!B:G,5,FALSE)="",0,VLOOKUP(C3,BalanceComprobacion!B:G,5,FALSE)),DetalleSaldosBancosFinal1!I3-IF(VLOOKUP(DetalleSaldosBancosFinal1!C3,BalanceComprobacion!B:G,5,FALSE)="",0,VLOOKUP(DetalleSaldosBancosFinal1!C3,BalanceComprobacion!B:G,5,FALSE)))</f>
        <v>#N/A</v>
      </c>
      <c r="AG3" s="2" t="e">
        <f>IF(J3="",0-IF(VLOOKUP(C3,BalanceComprobacion!B:G,6,FALSE)="",0,VLOOKUP(C3,BalanceComprobacion!B:G,6,FALSE)),DetalleSaldosBancosFinal1!J3-IF(VLOOKUP(DetalleSaldosBancosFinal1!C3,BalanceComprobacion!B:G,6,FALSE)="",0,VLOOKUP(DetalleSaldosBancosFinal1!C3,BalanceComprobacion!B:G,6,FALSE)))</f>
        <v>#N/A</v>
      </c>
    </row>
    <row r="4" spans="1:33">
      <c r="A4" s="3">
        <v>1</v>
      </c>
      <c r="B4" s="3">
        <v>1</v>
      </c>
      <c r="C4" s="1" t="s">
        <v>47</v>
      </c>
      <c r="E4" s="1" t="s">
        <v>65</v>
      </c>
      <c r="F4" s="1" t="s">
        <v>65</v>
      </c>
      <c r="G4" s="1" t="s">
        <v>65</v>
      </c>
      <c r="I4" s="4">
        <v>2500</v>
      </c>
      <c r="AF4" s="2" t="e">
        <f>IF(I4="",0-IF(VLOOKUP(C4,BalanceComprobacion!B:G,5,FALSE)="",0,VLOOKUP(C4,BalanceComprobacion!B:G,5,FALSE)),DetalleSaldosBancosFinal1!I4-IF(VLOOKUP(DetalleSaldosBancosFinal1!C4,BalanceComprobacion!B:G,5,FALSE)="",0,VLOOKUP(DetalleSaldosBancosFinal1!C4,BalanceComprobacion!B:G,5,FALSE)))</f>
        <v>#N/A</v>
      </c>
      <c r="AG4" s="2" t="e">
        <f>IF(J4="",0-IF(VLOOKUP(C4,BalanceComprobacion!B:G,6,FALSE)="",0,VLOOKUP(C4,BalanceComprobacion!B:G,6,FALSE)),DetalleSaldosBancosFinal1!J4-IF(VLOOKUP(DetalleSaldosBancosFinal1!C4,BalanceComprobacion!B:G,6,FALSE)="",0,VLOOKUP(DetalleSaldosBancosFinal1!C4,BalanceComprobacion!B:G,6,FALSE)))</f>
        <v>#N/A</v>
      </c>
    </row>
    <row r="5" spans="1:33">
      <c r="A5" s="3">
        <v>1</v>
      </c>
      <c r="B5" s="3">
        <v>2</v>
      </c>
      <c r="C5" s="1" t="s">
        <v>49</v>
      </c>
      <c r="E5" s="1" t="s">
        <v>65</v>
      </c>
      <c r="F5" s="1" t="s">
        <v>65</v>
      </c>
      <c r="G5" s="1" t="s">
        <v>65</v>
      </c>
      <c r="I5" s="4">
        <v>163954</v>
      </c>
      <c r="AF5" s="2" t="e">
        <f>IF(I5="",0-IF(VLOOKUP(C5,BalanceComprobacion!B:G,5,FALSE)="",0,VLOOKUP(C5,BalanceComprobacion!B:G,5,FALSE)),DetalleSaldosBancosFinal1!I5-IF(VLOOKUP(DetalleSaldosBancosFinal1!C5,BalanceComprobacion!B:G,5,FALSE)="",0,VLOOKUP(DetalleSaldosBancosFinal1!C5,BalanceComprobacion!B:G,5,FALSE)))</f>
        <v>#N/A</v>
      </c>
      <c r="AG5" s="2" t="e">
        <f>IF(J5="",0-IF(VLOOKUP(C5,BalanceComprobacion!B:G,6,FALSE)="",0,VLOOKUP(C5,BalanceComprobacion!B:G,6,FALSE)),DetalleSaldosBancosFinal1!J5-IF(VLOOKUP(DetalleSaldosBancosFinal1!C5,BalanceComprobacion!B:G,6,FALSE)="",0,VLOOKUP(DetalleSaldosBancosFinal1!C5,BalanceComprobacion!B:G,6,FALSE)))</f>
        <v>#N/A</v>
      </c>
    </row>
    <row r="6" spans="1:33">
      <c r="A6" s="3">
        <v>1</v>
      </c>
      <c r="B6" s="3">
        <v>3</v>
      </c>
      <c r="C6" s="1" t="s">
        <v>50</v>
      </c>
      <c r="E6" s="1" t="s">
        <v>65</v>
      </c>
      <c r="F6" s="1" t="s">
        <v>65</v>
      </c>
      <c r="G6" s="1" t="s">
        <v>65</v>
      </c>
      <c r="J6" s="4">
        <v>102576.83</v>
      </c>
      <c r="AF6" s="2" t="e">
        <f>IF(I6="",0-IF(VLOOKUP(C6,BalanceComprobacion!B:G,5,FALSE)="",0,VLOOKUP(C6,BalanceComprobacion!B:G,5,FALSE)),DetalleSaldosBancosFinal1!I6-IF(VLOOKUP(DetalleSaldosBancosFinal1!C6,BalanceComprobacion!B:G,5,FALSE)="",0,VLOOKUP(DetalleSaldosBancosFinal1!C6,BalanceComprobacion!B:G,5,FALSE)))</f>
        <v>#N/A</v>
      </c>
      <c r="AG6" s="2" t="e">
        <f>IF(J6="",0-IF(VLOOKUP(C6,BalanceComprobacion!B:G,6,FALSE)="",0,VLOOKUP(C6,BalanceComprobacion!B:G,6,FALSE)),DetalleSaldosBancosFinal1!J6-IF(VLOOKUP(DetalleSaldosBancosFinal1!C6,BalanceComprobacion!B:G,6,FALSE)="",0,VLOOKUP(DetalleSaldosBancosFinal1!C6,BalanceComprobacion!B:G,6,FALSE)))</f>
        <v>#N/A</v>
      </c>
    </row>
    <row r="7" spans="1:33">
      <c r="A7" s="3">
        <v>1</v>
      </c>
      <c r="B7" s="3">
        <v>4</v>
      </c>
      <c r="C7" s="1" t="s">
        <v>48</v>
      </c>
      <c r="E7" s="1" t="s">
        <v>65</v>
      </c>
      <c r="F7" s="1" t="s">
        <v>65</v>
      </c>
      <c r="G7" s="1" t="s">
        <v>65</v>
      </c>
      <c r="J7" s="4">
        <v>135406.37</v>
      </c>
      <c r="AF7" s="2" t="e">
        <f>IF(I7="",0-IF(VLOOKUP(C7,BalanceComprobacion!B:G,5,FALSE)="",0,VLOOKUP(C7,BalanceComprobacion!B:G,5,FALSE)),DetalleSaldosBancosFinal1!I7-IF(VLOOKUP(DetalleSaldosBancosFinal1!C7,BalanceComprobacion!B:G,5,FALSE)="",0,VLOOKUP(DetalleSaldosBancosFinal1!C7,BalanceComprobacion!B:G,5,FALSE)))</f>
        <v>#N/A</v>
      </c>
      <c r="AG7" s="2" t="e">
        <f>IF(J7="",0-IF(VLOOKUP(C7,BalanceComprobacion!B:G,6,FALSE)="",0,VLOOKUP(C7,BalanceComprobacion!B:G,6,FALSE)),DetalleSaldosBancosFinal1!J7-IF(VLOOKUP(DetalleSaldosBancosFinal1!C7,BalanceComprobacion!B:G,6,FALSE)="",0,VLOOKUP(DetalleSaldosBancosFinal1!C7,BalanceComprobacion!B:G,6,FALSE)))</f>
        <v>#N/A</v>
      </c>
    </row>
    <row r="8" spans="1:33">
      <c r="A8" s="3">
        <v>1</v>
      </c>
      <c r="B8" s="3">
        <v>5</v>
      </c>
      <c r="C8" s="1" t="s">
        <v>51</v>
      </c>
      <c r="E8" s="1" t="s">
        <v>65</v>
      </c>
      <c r="F8" s="1" t="s">
        <v>65</v>
      </c>
      <c r="G8" s="1" t="s">
        <v>65</v>
      </c>
      <c r="J8" s="4">
        <v>3787.69</v>
      </c>
      <c r="AF8" s="2" t="e">
        <f>IF(I8="",0-IF(VLOOKUP(C8,BalanceComprobacion!B:G,5,FALSE)="",0,VLOOKUP(C8,BalanceComprobacion!B:G,5,FALSE)),DetalleSaldosBancosFinal1!I8-IF(VLOOKUP(DetalleSaldosBancosFinal1!C8,BalanceComprobacion!B:G,5,FALSE)="",0,VLOOKUP(DetalleSaldosBancosFinal1!C8,BalanceComprobacion!B:G,5,FALSE)))</f>
        <v>#N/A</v>
      </c>
      <c r="AG8" s="2" t="e">
        <f>IF(J8="",0-IF(VLOOKUP(C8,BalanceComprobacion!B:G,6,FALSE)="",0,VLOOKUP(C8,BalanceComprobacion!B:G,6,FALSE)),DetalleSaldosBancosFinal1!J8-IF(VLOOKUP(DetalleSaldosBancosFinal1!C8,BalanceComprobacion!B:G,6,FALSE)="",0,VLOOKUP(DetalleSaldosBancosFinal1!C8,BalanceComprobacion!B:G,6,FALSE)))</f>
        <v>#N/A</v>
      </c>
    </row>
    <row r="9" spans="1:33">
      <c r="A9" s="3">
        <v>1</v>
      </c>
      <c r="B9" s="3">
        <v>6</v>
      </c>
      <c r="C9" s="1" t="s">
        <v>66</v>
      </c>
      <c r="E9" s="1" t="s">
        <v>65</v>
      </c>
      <c r="F9" s="1" t="s">
        <v>65</v>
      </c>
      <c r="G9" s="1" t="s">
        <v>65</v>
      </c>
      <c r="I9" s="4">
        <v>515904.17</v>
      </c>
      <c r="AF9" s="2" t="e">
        <f>IF(I9="",0-IF(VLOOKUP(C9,BalanceComprobacion!B:G,5,FALSE)="",0,VLOOKUP(C9,BalanceComprobacion!B:G,5,FALSE)),DetalleSaldosBancosFinal1!I9-IF(VLOOKUP(DetalleSaldosBancosFinal1!C9,BalanceComprobacion!B:G,5,FALSE)="",0,VLOOKUP(DetalleSaldosBancosFinal1!C9,BalanceComprobacion!B:G,5,FALSE)))</f>
        <v>#N/A</v>
      </c>
      <c r="AG9" s="2" t="e">
        <f>IF(J9="",0-IF(VLOOKUP(C9,BalanceComprobacion!B:G,6,FALSE)="",0,VLOOKUP(C9,BalanceComprobacion!B:G,6,FALSE)),DetalleSaldosBancosFinal1!J9-IF(VLOOKUP(DetalleSaldosBancosFinal1!C9,BalanceComprobacion!B:G,6,FALSE)="",0,VLOOKUP(DetalleSaldosBancosFinal1!C9,BalanceComprobacion!B:G,6,FALSE)))</f>
        <v>#N/A</v>
      </c>
    </row>
    <row r="10" spans="1:33">
      <c r="A10" s="5">
        <v>1</v>
      </c>
      <c r="B10" s="5">
        <v>6</v>
      </c>
      <c r="C10" s="6" t="s">
        <v>52</v>
      </c>
      <c r="D10" s="6" t="s">
        <v>53</v>
      </c>
      <c r="E10" s="6" t="s">
        <v>65</v>
      </c>
      <c r="F10" s="6" t="s">
        <v>65</v>
      </c>
      <c r="G10" s="6" t="s">
        <v>65</v>
      </c>
      <c r="H10" s="6"/>
      <c r="I10" s="7"/>
      <c r="J10" s="8">
        <v>473728.24</v>
      </c>
      <c r="K10" s="8"/>
      <c r="L10" s="8"/>
      <c r="M10" s="8"/>
      <c r="N10" s="8"/>
      <c r="AF10" s="2" t="e">
        <f>IF(I10="",0-IF(VLOOKUP(C10,BalanceComprobacion!B:G,5,FALSE)="",0,VLOOKUP(C10,BalanceComprobacion!B:G,5,FALSE)),DetalleSaldosBancosFinal1!I10-IF(VLOOKUP(DetalleSaldosBancosFinal1!C10,BalanceComprobacion!B:G,5,FALSE)="",0,VLOOKUP(DetalleSaldosBancosFinal1!C10,BalanceComprobacion!B:G,5,FALSE)))</f>
        <v>#N/A</v>
      </c>
      <c r="AG10" s="2" t="e">
        <f>IF(J10="",0-IF(VLOOKUP(C10,BalanceComprobacion!B:G,6,FALSE)="",0,VLOOKUP(C10,BalanceComprobacion!B:G,6,FALSE)),DetalleSaldosBancosFinal1!J10-IF(VLOOKUP(DetalleSaldosBancosFinal1!C10,BalanceComprobacion!B:G,6,FALSE)="",0,VLOOKUP(DetalleSaldosBancosFinal1!C10,BalanceComprobacion!B:G,6,FALSE)))</f>
        <v>#N/A</v>
      </c>
    </row>
    <row r="11" spans="1:33">
      <c r="A11" s="3">
        <v>2</v>
      </c>
      <c r="B11" s="3">
        <v>0</v>
      </c>
      <c r="C11" s="1" t="s">
        <v>54</v>
      </c>
      <c r="E11" s="1" t="s">
        <v>65</v>
      </c>
      <c r="F11" s="1" t="s">
        <v>65</v>
      </c>
      <c r="G11" s="1" t="s">
        <v>65</v>
      </c>
      <c r="H11" s="1" t="s">
        <v>55</v>
      </c>
      <c r="J11" s="4">
        <v>111903.09</v>
      </c>
      <c r="L11" s="4">
        <v>40209.519999999997</v>
      </c>
      <c r="N11" s="4">
        <v>40209.519999999997</v>
      </c>
      <c r="O11" s="2">
        <f>+J11/L11</f>
        <v>2.7829998965419134</v>
      </c>
      <c r="AF11" s="2" t="e">
        <f>IF(I11="",0-IF(VLOOKUP(C11,BalanceComprobacion!B:G,5,FALSE)="",0,VLOOKUP(C11,BalanceComprobacion!B:G,5,FALSE)),DetalleSaldosBancosFinal1!I11-IF(VLOOKUP(DetalleSaldosBancosFinal1!C11,BalanceComprobacion!B:G,5,FALSE)="",0,VLOOKUP(DetalleSaldosBancosFinal1!C11,BalanceComprobacion!B:G,5,FALSE)))</f>
        <v>#N/A</v>
      </c>
      <c r="AG11" s="2" t="e">
        <f>IF(J11="",0-IF(VLOOKUP(C11,BalanceComprobacion!B:G,6,FALSE)="",0,VLOOKUP(C11,BalanceComprobacion!B:G,6,FALSE)),DetalleSaldosBancosFinal1!J11-IF(VLOOKUP(DetalleSaldosBancosFinal1!C11,BalanceComprobacion!B:G,6,FALSE)="",0,VLOOKUP(DetalleSaldosBancosFinal1!C11,BalanceComprobacion!B:G,6,FALSE)))</f>
        <v>#N/A</v>
      </c>
    </row>
    <row r="12" spans="1:33" s="19" customFormat="1">
      <c r="A12" s="23">
        <v>2</v>
      </c>
      <c r="B12" s="23">
        <v>1</v>
      </c>
      <c r="C12" s="24" t="s">
        <v>56</v>
      </c>
      <c r="D12" s="24"/>
      <c r="E12" s="24" t="s">
        <v>65</v>
      </c>
      <c r="F12" s="24" t="s">
        <v>65</v>
      </c>
      <c r="G12" s="24" t="s">
        <v>65</v>
      </c>
      <c r="H12" s="24" t="s">
        <v>55</v>
      </c>
      <c r="I12" s="25">
        <v>323742.15999999997</v>
      </c>
      <c r="J12" s="25"/>
      <c r="K12" s="25">
        <v>116328.48</v>
      </c>
      <c r="L12" s="25"/>
      <c r="M12" s="25">
        <v>116328.48</v>
      </c>
      <c r="N12" s="25"/>
      <c r="O12" s="19">
        <f>+I12/M12</f>
        <v>2.7830000013754153</v>
      </c>
      <c r="AF12" s="19" t="e">
        <f>IF(I12="",0-IF(VLOOKUP(C12,BalanceComprobacion!B:G,5,FALSE)="",0,VLOOKUP(C12,BalanceComprobacion!B:G,5,FALSE)),DetalleSaldosBancosFinal1!I12-IF(VLOOKUP(DetalleSaldosBancosFinal1!C12,BalanceComprobacion!B:G,5,FALSE)="",0,VLOOKUP(DetalleSaldosBancosFinal1!C12,BalanceComprobacion!B:G,5,FALSE)))</f>
        <v>#N/A</v>
      </c>
      <c r="AG12" s="19" t="e">
        <f>IF(J12="",0-IF(VLOOKUP(C12,BalanceComprobacion!B:G,6,FALSE)="",0,VLOOKUP(C12,BalanceComprobacion!B:G,6,FALSE)),DetalleSaldosBancosFinal1!J12-IF(VLOOKUP(DetalleSaldosBancosFinal1!C12,BalanceComprobacion!B:G,6,FALSE)="",0,VLOOKUP(DetalleSaldosBancosFinal1!C12,BalanceComprobacion!B:G,6,FALSE)))</f>
        <v>#N/A</v>
      </c>
    </row>
    <row r="13" spans="1:33">
      <c r="A13" s="3">
        <v>2</v>
      </c>
      <c r="B13" s="3">
        <v>2</v>
      </c>
      <c r="C13" s="1" t="s">
        <v>57</v>
      </c>
      <c r="E13" s="1" t="s">
        <v>65</v>
      </c>
      <c r="F13" s="1" t="s">
        <v>65</v>
      </c>
      <c r="G13" s="1" t="s">
        <v>65</v>
      </c>
      <c r="H13" s="1" t="s">
        <v>55</v>
      </c>
      <c r="I13" s="4">
        <v>24120.1</v>
      </c>
      <c r="K13" s="4">
        <v>8676.2999999999993</v>
      </c>
      <c r="M13" s="4">
        <v>8676.2999999999993</v>
      </c>
      <c r="O13" s="2">
        <f t="shared" ref="O13:O15" si="0">+I13/M13</f>
        <v>2.7799983864089532</v>
      </c>
      <c r="AF13" s="2" t="e">
        <f>IF(I13="",0-IF(VLOOKUP(C13,BalanceComprobacion!B:G,5,FALSE)="",0,VLOOKUP(C13,BalanceComprobacion!B:G,5,FALSE)),DetalleSaldosBancosFinal1!I13-IF(VLOOKUP(DetalleSaldosBancosFinal1!C13,BalanceComprobacion!B:G,5,FALSE)="",0,VLOOKUP(DetalleSaldosBancosFinal1!C13,BalanceComprobacion!B:G,5,FALSE)))</f>
        <v>#N/A</v>
      </c>
      <c r="AG13" s="2" t="e">
        <f>IF(J13="",0-IF(VLOOKUP(C13,BalanceComprobacion!B:G,6,FALSE)="",0,VLOOKUP(C13,BalanceComprobacion!B:G,6,FALSE)),DetalleSaldosBancosFinal1!J13-IF(VLOOKUP(DetalleSaldosBancosFinal1!C13,BalanceComprobacion!B:G,6,FALSE)="",0,VLOOKUP(DetalleSaldosBancosFinal1!C13,BalanceComprobacion!B:G,6,FALSE)))</f>
        <v>#N/A</v>
      </c>
    </row>
    <row r="14" spans="1:33">
      <c r="A14" s="3">
        <v>2</v>
      </c>
      <c r="B14" s="3">
        <v>3</v>
      </c>
      <c r="C14" s="1" t="s">
        <v>59</v>
      </c>
      <c r="E14" s="1" t="s">
        <v>65</v>
      </c>
      <c r="F14" s="1" t="s">
        <v>65</v>
      </c>
      <c r="G14" s="1" t="s">
        <v>65</v>
      </c>
      <c r="H14" s="1" t="s">
        <v>55</v>
      </c>
      <c r="I14" s="4">
        <v>184969.64</v>
      </c>
      <c r="K14" s="4">
        <v>66535.839999999997</v>
      </c>
      <c r="M14" s="4">
        <v>66535.839999999997</v>
      </c>
      <c r="O14" s="2">
        <f t="shared" si="0"/>
        <v>2.7800000721415712</v>
      </c>
      <c r="AF14" s="2" t="e">
        <f>IF(I14="",0-IF(VLOOKUP(C14,BalanceComprobacion!B:G,5,FALSE)="",0,VLOOKUP(C14,BalanceComprobacion!B:G,5,FALSE)),DetalleSaldosBancosFinal1!I14-IF(VLOOKUP(DetalleSaldosBancosFinal1!C14,BalanceComprobacion!B:G,5,FALSE)="",0,VLOOKUP(DetalleSaldosBancosFinal1!C14,BalanceComprobacion!B:G,5,FALSE)))</f>
        <v>#N/A</v>
      </c>
      <c r="AG14" s="2" t="e">
        <f>IF(J14="",0-IF(VLOOKUP(C14,BalanceComprobacion!B:G,6,FALSE)="",0,VLOOKUP(C14,BalanceComprobacion!B:G,6,FALSE)),DetalleSaldosBancosFinal1!J14-IF(VLOOKUP(DetalleSaldosBancosFinal1!C14,BalanceComprobacion!B:G,6,FALSE)="",0,VLOOKUP(DetalleSaldosBancosFinal1!C14,BalanceComprobacion!B:G,6,FALSE)))</f>
        <v>#N/A</v>
      </c>
    </row>
    <row r="15" spans="1:33">
      <c r="A15" s="3">
        <v>2</v>
      </c>
      <c r="B15" s="3">
        <v>4</v>
      </c>
      <c r="C15" s="1" t="s">
        <v>58</v>
      </c>
      <c r="E15" s="1" t="s">
        <v>65</v>
      </c>
      <c r="F15" s="1" t="s">
        <v>65</v>
      </c>
      <c r="G15" s="1" t="s">
        <v>65</v>
      </c>
      <c r="H15" s="1" t="s">
        <v>55</v>
      </c>
      <c r="J15" s="4">
        <v>2986548.43</v>
      </c>
      <c r="L15" s="4">
        <v>1073139.93</v>
      </c>
      <c r="N15" s="4">
        <v>1073139.93</v>
      </c>
      <c r="O15" s="2" t="e">
        <f t="shared" si="0"/>
        <v>#DIV/0!</v>
      </c>
      <c r="AF15" s="2" t="e">
        <f>IF(I15="",0-IF(VLOOKUP(C15,BalanceComprobacion!B:G,5,FALSE)="",0,VLOOKUP(C15,BalanceComprobacion!B:G,5,FALSE)),DetalleSaldosBancosFinal1!I15-IF(VLOOKUP(DetalleSaldosBancosFinal1!C15,BalanceComprobacion!B:G,5,FALSE)="",0,VLOOKUP(DetalleSaldosBancosFinal1!C15,BalanceComprobacion!B:G,5,FALSE)))</f>
        <v>#N/A</v>
      </c>
      <c r="AG15" s="2" t="e">
        <f>IF(J15="",0-IF(VLOOKUP(C15,BalanceComprobacion!B:G,6,FALSE)="",0,VLOOKUP(C15,BalanceComprobacion!B:G,6,FALSE)),DetalleSaldosBancosFinal1!J15-IF(VLOOKUP(DetalleSaldosBancosFinal1!C15,BalanceComprobacion!B:G,6,FALSE)="",0,VLOOKUP(DetalleSaldosBancosFinal1!C15,BalanceComprobacion!B:G,6,FALSE)))</f>
        <v>#N/A</v>
      </c>
    </row>
    <row r="16" spans="1:33">
      <c r="A16" s="3">
        <v>2</v>
      </c>
      <c r="B16" s="3">
        <v>5</v>
      </c>
      <c r="C16" s="1" t="s">
        <v>60</v>
      </c>
      <c r="E16" s="1" t="s">
        <v>65</v>
      </c>
      <c r="F16" s="1" t="s">
        <v>65</v>
      </c>
      <c r="G16" s="1" t="s">
        <v>65</v>
      </c>
      <c r="H16" s="1" t="s">
        <v>55</v>
      </c>
      <c r="J16" s="4">
        <v>97082.81</v>
      </c>
      <c r="L16" s="4">
        <v>34884.230000000003</v>
      </c>
      <c r="N16" s="4">
        <v>34884.230000000003</v>
      </c>
      <c r="AF16" s="2" t="e">
        <f>IF(I16="",0-IF(VLOOKUP(C16,BalanceComprobacion!B:G,5,FALSE)="",0,VLOOKUP(C16,BalanceComprobacion!B:G,5,FALSE)),DetalleSaldosBancosFinal1!I16-IF(VLOOKUP(DetalleSaldosBancosFinal1!C16,BalanceComprobacion!B:G,5,FALSE)="",0,VLOOKUP(DetalleSaldosBancosFinal1!C16,BalanceComprobacion!B:G,5,FALSE)))</f>
        <v>#N/A</v>
      </c>
      <c r="AG16" s="2" t="e">
        <f>IF(J16="",0-IF(VLOOKUP(C16,BalanceComprobacion!B:G,6,FALSE)="",0,VLOOKUP(C16,BalanceComprobacion!B:G,6,FALSE)),DetalleSaldosBancosFinal1!J16-IF(VLOOKUP(DetalleSaldosBancosFinal1!C16,BalanceComprobacion!B:G,6,FALSE)="",0,VLOOKUP(DetalleSaldosBancosFinal1!C16,BalanceComprobacion!B:G,6,FALSE)))</f>
        <v>#N/A</v>
      </c>
    </row>
    <row r="17" spans="1:33">
      <c r="A17" s="3">
        <v>2</v>
      </c>
      <c r="B17" s="3">
        <v>6</v>
      </c>
      <c r="C17" s="1" t="s">
        <v>67</v>
      </c>
      <c r="E17" s="1" t="s">
        <v>65</v>
      </c>
      <c r="F17" s="1" t="s">
        <v>65</v>
      </c>
      <c r="G17" s="1" t="s">
        <v>65</v>
      </c>
      <c r="H17" s="1" t="s">
        <v>55</v>
      </c>
      <c r="I17" s="4">
        <v>76543.66</v>
      </c>
      <c r="K17" s="4">
        <v>27533.69</v>
      </c>
      <c r="M17" s="4">
        <v>27533.69</v>
      </c>
      <c r="AF17" s="2" t="e">
        <f>IF(I17="",0-IF(VLOOKUP(C17,BalanceComprobacion!B:G,5,FALSE)="",0,VLOOKUP(C17,BalanceComprobacion!B:G,5,FALSE)),DetalleSaldosBancosFinal1!I17-IF(VLOOKUP(DetalleSaldosBancosFinal1!C17,BalanceComprobacion!B:G,5,FALSE)="",0,VLOOKUP(DetalleSaldosBancosFinal1!C17,BalanceComprobacion!B:G,5,FALSE)))</f>
        <v>#N/A</v>
      </c>
      <c r="AG17" s="2" t="e">
        <f>IF(J17="",0-IF(VLOOKUP(C17,BalanceComprobacion!B:G,6,FALSE)="",0,VLOOKUP(C17,BalanceComprobacion!B:G,6,FALSE)),DetalleSaldosBancosFinal1!J17-IF(VLOOKUP(DetalleSaldosBancosFinal1!C17,BalanceComprobacion!B:G,6,FALSE)="",0,VLOOKUP(DetalleSaldosBancosFinal1!C17,BalanceComprobacion!B:G,6,FALSE)))</f>
        <v>#N/A</v>
      </c>
    </row>
    <row r="18" spans="1:33">
      <c r="A18" s="3">
        <v>2</v>
      </c>
      <c r="B18" s="3">
        <v>7</v>
      </c>
      <c r="C18" s="1" t="s">
        <v>61</v>
      </c>
      <c r="E18" s="1" t="s">
        <v>65</v>
      </c>
      <c r="F18" s="1" t="s">
        <v>65</v>
      </c>
      <c r="G18" s="1" t="s">
        <v>65</v>
      </c>
      <c r="H18" s="1" t="s">
        <v>55</v>
      </c>
      <c r="J18" s="4">
        <v>58576.47</v>
      </c>
      <c r="L18" s="4">
        <v>21047.96</v>
      </c>
      <c r="N18" s="4">
        <v>21047.96</v>
      </c>
      <c r="AF18" s="2" t="e">
        <f>IF(I18="",0-IF(VLOOKUP(C18,BalanceComprobacion!B:G,5,FALSE)="",0,VLOOKUP(C18,BalanceComprobacion!B:G,5,FALSE)),DetalleSaldosBancosFinal1!I18-IF(VLOOKUP(DetalleSaldosBancosFinal1!C18,BalanceComprobacion!B:G,5,FALSE)="",0,VLOOKUP(DetalleSaldosBancosFinal1!C18,BalanceComprobacion!B:G,5,FALSE)))</f>
        <v>#N/A</v>
      </c>
      <c r="AG18" s="2" t="e">
        <f>IF(J18="",0-IF(VLOOKUP(C18,BalanceComprobacion!B:G,6,FALSE)="",0,VLOOKUP(C18,BalanceComprobacion!B:G,6,FALSE)),DetalleSaldosBancosFinal1!J18-IF(VLOOKUP(DetalleSaldosBancosFinal1!C18,BalanceComprobacion!B:G,6,FALSE)="",0,VLOOKUP(DetalleSaldosBancosFinal1!C18,BalanceComprobacion!B:G,6,FALSE)))</f>
        <v>#N/A</v>
      </c>
    </row>
    <row r="19" spans="1:33" s="30" customFormat="1">
      <c r="A19" s="27">
        <v>2</v>
      </c>
      <c r="B19" s="27">
        <v>8</v>
      </c>
      <c r="C19" s="1" t="s">
        <v>68</v>
      </c>
      <c r="D19" s="28"/>
      <c r="E19" s="28" t="s">
        <v>65</v>
      </c>
      <c r="F19" s="28" t="s">
        <v>65</v>
      </c>
      <c r="G19" s="28" t="s">
        <v>65</v>
      </c>
      <c r="H19" s="28" t="s">
        <v>55</v>
      </c>
      <c r="I19" s="29">
        <v>64.33</v>
      </c>
      <c r="J19" s="29"/>
      <c r="K19" s="29">
        <v>23.14</v>
      </c>
      <c r="L19" s="29"/>
      <c r="M19" s="29">
        <v>23.14</v>
      </c>
      <c r="N19" s="29"/>
      <c r="AF19" s="2">
        <f>IF(I19="",0-IF(VLOOKUP(C19,BalanceComprobacion!B:G,5,FALSE)="",0,VLOOKUP(C19,BalanceComprobacion!B:G,5,FALSE)),DetalleSaldosBancosFinal1!I19-IF(VLOOKUP(DetalleSaldosBancosFinal1!C19,BalanceComprobacion!B:G,5,FALSE)="",0,VLOOKUP(DetalleSaldosBancosFinal1!C19,BalanceComprobacion!B:G,5,FALSE)))</f>
        <v>0</v>
      </c>
      <c r="AG19" s="2">
        <f>IF(J19="",0-IF(VLOOKUP(C19,BalanceComprobacion!B:G,6,FALSE)="",0,VLOOKUP(C19,BalanceComprobacion!B:G,6,FALSE)),DetalleSaldosBancosFinal1!J19-IF(VLOOKUP(DetalleSaldosBancosFinal1!C19,BalanceComprobacion!B:G,6,FALSE)="",0,VLOOKUP(DetalleSaldosBancosFinal1!C19,BalanceComprobacion!B:G,6,FALSE)))</f>
        <v>0</v>
      </c>
    </row>
    <row r="20" spans="1:33">
      <c r="A20" s="5">
        <v>2</v>
      </c>
      <c r="B20" s="5">
        <v>9</v>
      </c>
      <c r="C20" s="6" t="s">
        <v>52</v>
      </c>
      <c r="D20" s="6" t="s">
        <v>62</v>
      </c>
      <c r="E20" s="6" t="s">
        <v>65</v>
      </c>
      <c r="F20" s="6" t="s">
        <v>65</v>
      </c>
      <c r="G20" s="6" t="s">
        <v>65</v>
      </c>
      <c r="H20" s="6" t="s">
        <v>55</v>
      </c>
      <c r="I20" s="8">
        <v>2644670.91</v>
      </c>
      <c r="J20" s="8"/>
      <c r="K20" s="8">
        <v>950184.19</v>
      </c>
      <c r="L20" s="8"/>
      <c r="M20" s="8">
        <v>950184.19</v>
      </c>
      <c r="N20" s="8">
        <v>368689.88</v>
      </c>
      <c r="AF20" s="2" t="e">
        <f>IF(I20="",0-IF(VLOOKUP(C20,BalanceComprobacion!B:G,5,FALSE)="",0,VLOOKUP(C20,BalanceComprobacion!B:G,5,FALSE)),DetalleSaldosBancosFinal1!I20-IF(VLOOKUP(DetalleSaldosBancosFinal1!C20,BalanceComprobacion!B:G,5,FALSE)="",0,VLOOKUP(DetalleSaldosBancosFinal1!C20,BalanceComprobacion!B:G,5,FALSE)))</f>
        <v>#N/A</v>
      </c>
      <c r="AG20" s="2" t="e">
        <f>IF(J20="",0-IF(VLOOKUP(C20,BalanceComprobacion!B:G,6,FALSE)="",0,VLOOKUP(C20,BalanceComprobacion!B:G,6,FALSE)),DetalleSaldosBancosFinal1!J20-IF(VLOOKUP(DetalleSaldosBancosFinal1!C20,BalanceComprobacion!B:G,6,FALSE)="",0,VLOOKUP(DetalleSaldosBancosFinal1!C20,BalanceComprobacion!B:G,6,FALSE)))</f>
        <v>#N/A</v>
      </c>
    </row>
    <row r="28" spans="1:33">
      <c r="I28" s="11"/>
    </row>
    <row r="29" spans="1:33">
      <c r="I29" s="11"/>
    </row>
    <row r="30" spans="1:33">
      <c r="I30" s="11"/>
    </row>
    <row r="31" spans="1:33">
      <c r="I31" s="11"/>
    </row>
    <row r="32" spans="1:33">
      <c r="I32" s="11"/>
    </row>
    <row r="33" spans="9:11">
      <c r="I33" s="11"/>
    </row>
    <row r="34" spans="9:11">
      <c r="I34" s="11"/>
    </row>
    <row r="35" spans="9:11">
      <c r="I35" s="11"/>
    </row>
    <row r="36" spans="9:11">
      <c r="I36" s="11"/>
    </row>
    <row r="37" spans="9:11">
      <c r="I37" s="11"/>
      <c r="K37" s="12"/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1"/>
  <sheetViews>
    <sheetView workbookViewId="0">
      <selection activeCell="J21" sqref="A1:K21"/>
    </sheetView>
  </sheetViews>
  <sheetFormatPr baseColWidth="10" defaultColWidth="11.44140625" defaultRowHeight="13.2"/>
  <cols>
    <col min="2" max="2" width="11.44140625" style="34"/>
    <col min="3" max="3" width="38.44140625" bestFit="1" customWidth="1"/>
    <col min="4" max="5" width="13.88671875" bestFit="1" customWidth="1"/>
    <col min="7" max="7" width="12.88671875" bestFit="1" customWidth="1"/>
    <col min="9" max="9" width="12.88671875" bestFit="1" customWidth="1"/>
  </cols>
  <sheetData>
    <row r="1" spans="1:12">
      <c r="A1" s="13" t="s">
        <v>69</v>
      </c>
      <c r="B1" s="32" t="s">
        <v>70</v>
      </c>
      <c r="C1" s="13"/>
      <c r="D1" s="45" t="s">
        <v>71</v>
      </c>
      <c r="E1" s="46"/>
      <c r="F1" s="21" t="s">
        <v>72</v>
      </c>
      <c r="G1" s="22"/>
      <c r="H1" s="45" t="s">
        <v>73</v>
      </c>
      <c r="I1" s="46"/>
      <c r="J1" s="45" t="s">
        <v>74</v>
      </c>
      <c r="K1" s="46"/>
    </row>
    <row r="2" spans="1:12">
      <c r="A2" s="13" t="s">
        <v>75</v>
      </c>
      <c r="B2" s="32" t="s">
        <v>76</v>
      </c>
      <c r="C2" s="13" t="s">
        <v>77</v>
      </c>
      <c r="D2" s="14" t="s">
        <v>78</v>
      </c>
      <c r="E2" s="14" t="s">
        <v>79</v>
      </c>
      <c r="F2" s="14" t="s">
        <v>80</v>
      </c>
      <c r="G2" s="14" t="s">
        <v>81</v>
      </c>
      <c r="H2" s="14" t="s">
        <v>82</v>
      </c>
      <c r="I2" s="14" t="s">
        <v>83</v>
      </c>
      <c r="J2" s="14" t="s">
        <v>84</v>
      </c>
      <c r="K2" s="14" t="s">
        <v>85</v>
      </c>
    </row>
    <row r="3" spans="1:12">
      <c r="A3" s="15"/>
      <c r="B3" s="33"/>
      <c r="C3" s="16"/>
      <c r="D3" s="17"/>
      <c r="E3" s="17"/>
      <c r="F3" s="17"/>
      <c r="G3" s="17"/>
      <c r="H3" s="17"/>
      <c r="I3" s="17"/>
      <c r="J3" s="17"/>
      <c r="K3" s="17"/>
    </row>
    <row r="4" spans="1:12">
      <c r="A4" s="15">
        <v>10101001</v>
      </c>
      <c r="B4" s="33" t="e">
        <f>VLOOKUP(A4,#REF!,3,FALSE)</f>
        <v>#REF!</v>
      </c>
      <c r="C4" s="16" t="s">
        <v>86</v>
      </c>
      <c r="D4" s="17">
        <v>269843.78999999998</v>
      </c>
      <c r="E4" s="17">
        <v>236702.83</v>
      </c>
      <c r="F4" s="17">
        <v>33140.959999999999</v>
      </c>
      <c r="G4" s="17"/>
      <c r="H4" s="17">
        <v>33140.959999999999</v>
      </c>
      <c r="I4" s="17"/>
      <c r="J4" s="17"/>
      <c r="K4" s="17"/>
    </row>
    <row r="5" spans="1:12">
      <c r="A5" s="15">
        <v>10102001</v>
      </c>
      <c r="B5" s="33" t="e">
        <f>VLOOKUP(A5,#REF!,3,FALSE)</f>
        <v>#REF!</v>
      </c>
      <c r="C5" s="16" t="s">
        <v>87</v>
      </c>
      <c r="D5" s="17">
        <v>48815.91</v>
      </c>
      <c r="E5" s="17">
        <v>48815.91</v>
      </c>
      <c r="F5" s="17"/>
      <c r="G5" s="17"/>
      <c r="H5" s="17"/>
      <c r="I5" s="17"/>
      <c r="J5" s="17"/>
      <c r="K5" s="17"/>
    </row>
    <row r="6" spans="1:12">
      <c r="A6" s="15">
        <v>10201001</v>
      </c>
      <c r="B6" s="33" t="e">
        <f>VLOOKUP(A6,#REF!,3,FALSE)</f>
        <v>#REF!</v>
      </c>
      <c r="C6" s="16" t="s">
        <v>88</v>
      </c>
      <c r="D6" s="17">
        <v>24234.37</v>
      </c>
      <c r="E6" s="17">
        <v>21734.37</v>
      </c>
      <c r="F6" s="17">
        <v>2500</v>
      </c>
      <c r="G6" s="17"/>
      <c r="H6" s="17">
        <v>2500</v>
      </c>
      <c r="I6" s="17"/>
      <c r="J6" s="17"/>
      <c r="K6" s="17"/>
    </row>
    <row r="7" spans="1:12">
      <c r="A7" s="15">
        <v>10411001</v>
      </c>
      <c r="B7" s="33" t="e">
        <f>VLOOKUP(A7,#REF!,3,FALSE)</f>
        <v>#REF!</v>
      </c>
      <c r="C7" s="16" t="s">
        <v>89</v>
      </c>
      <c r="D7" s="17">
        <v>2959201.7</v>
      </c>
      <c r="E7" s="17">
        <v>3071104.79</v>
      </c>
      <c r="F7" s="17"/>
      <c r="G7" s="17">
        <v>111903.09</v>
      </c>
      <c r="H7" s="17"/>
      <c r="I7" s="17">
        <v>111903.09</v>
      </c>
      <c r="J7" s="17"/>
      <c r="K7" s="17"/>
    </row>
    <row r="8" spans="1:12">
      <c r="A8" s="18">
        <v>10411002</v>
      </c>
      <c r="B8" s="31" t="s">
        <v>68</v>
      </c>
      <c r="C8" s="19" t="s">
        <v>90</v>
      </c>
      <c r="D8" s="20">
        <v>64.33</v>
      </c>
      <c r="E8" s="20"/>
      <c r="F8" s="20">
        <v>64.33</v>
      </c>
      <c r="G8" s="20"/>
      <c r="H8" s="20">
        <v>64.33</v>
      </c>
      <c r="I8" s="20"/>
      <c r="J8" s="20"/>
      <c r="K8" s="20"/>
    </row>
    <row r="9" spans="1:12">
      <c r="A9" s="15">
        <v>10411003</v>
      </c>
      <c r="B9" s="33" t="e">
        <f>VLOOKUP(A9,#REF!,3,FALSE)</f>
        <v>#REF!</v>
      </c>
      <c r="C9" s="16" t="s">
        <v>91</v>
      </c>
      <c r="D9" s="17">
        <f>9200.86+330602.46</f>
        <v>339803.32</v>
      </c>
      <c r="E9" s="17">
        <v>16061.16</v>
      </c>
      <c r="F9" s="17">
        <v>323742.15999999997</v>
      </c>
      <c r="G9" s="17"/>
      <c r="H9" s="17">
        <v>323742.15999999997</v>
      </c>
      <c r="I9" s="17"/>
      <c r="J9" s="17"/>
      <c r="K9" s="17"/>
      <c r="L9" s="26"/>
    </row>
    <row r="10" spans="1:12">
      <c r="A10" s="15">
        <v>10411004</v>
      </c>
      <c r="B10" s="33" t="e">
        <f>VLOOKUP(A10,#REF!,3,FALSE)</f>
        <v>#REF!</v>
      </c>
      <c r="C10" s="16" t="s">
        <v>92</v>
      </c>
      <c r="D10" s="17">
        <v>535325.15</v>
      </c>
      <c r="E10" s="17">
        <v>670731.52000000002</v>
      </c>
      <c r="F10" s="17"/>
      <c r="G10" s="17">
        <v>135406.37</v>
      </c>
      <c r="H10" s="17"/>
      <c r="I10" s="17">
        <v>135406.37</v>
      </c>
      <c r="J10" s="17"/>
      <c r="K10" s="17"/>
      <c r="L10" s="26"/>
    </row>
    <row r="11" spans="1:12">
      <c r="A11" s="15"/>
      <c r="B11" s="33"/>
      <c r="C11" s="16"/>
      <c r="D11" s="17"/>
      <c r="E11" s="17"/>
      <c r="F11" s="17"/>
      <c r="G11" s="17"/>
      <c r="H11" s="17"/>
      <c r="I11" s="17"/>
      <c r="J11" s="17"/>
      <c r="K11" s="17"/>
    </row>
    <row r="12" spans="1:12">
      <c r="A12" s="15">
        <v>10412002</v>
      </c>
      <c r="B12" s="33" t="e">
        <f>VLOOKUP(A12,#REF!,3,FALSE)</f>
        <v>#REF!</v>
      </c>
      <c r="C12" s="16" t="s">
        <v>93</v>
      </c>
      <c r="D12" s="17">
        <v>45929.8</v>
      </c>
      <c r="E12" s="17">
        <v>21809.7</v>
      </c>
      <c r="F12" s="17">
        <v>24120.1</v>
      </c>
      <c r="G12" s="17"/>
      <c r="H12" s="17">
        <v>24120.1</v>
      </c>
      <c r="I12" s="17"/>
      <c r="J12" s="17"/>
      <c r="K12" s="17"/>
    </row>
    <row r="13" spans="1:12">
      <c r="A13" s="15">
        <v>10413001</v>
      </c>
      <c r="B13" s="33" t="e">
        <f>VLOOKUP(A13,#REF!,3,FALSE)</f>
        <v>#REF!</v>
      </c>
      <c r="C13" s="16" t="s">
        <v>94</v>
      </c>
      <c r="D13" s="17">
        <v>24535546.48</v>
      </c>
      <c r="E13" s="17">
        <v>24371592.48</v>
      </c>
      <c r="F13" s="17">
        <v>163954</v>
      </c>
      <c r="G13" s="17"/>
      <c r="H13" s="17">
        <v>163954</v>
      </c>
      <c r="I13" s="17"/>
      <c r="J13" s="17"/>
      <c r="K13" s="17"/>
    </row>
    <row r="14" spans="1:12">
      <c r="A14" s="15">
        <v>10413002</v>
      </c>
      <c r="B14" s="33" t="e">
        <f>VLOOKUP(A14,#REF!,3,FALSE)</f>
        <v>#REF!</v>
      </c>
      <c r="C14" s="16" t="s">
        <v>95</v>
      </c>
      <c r="D14" s="17">
        <v>34442524.810000002</v>
      </c>
      <c r="E14" s="17">
        <v>37429073.240000002</v>
      </c>
      <c r="F14" s="17"/>
      <c r="G14" s="17">
        <v>2986548.43</v>
      </c>
      <c r="H14" s="17"/>
      <c r="I14" s="17">
        <v>2986548.43</v>
      </c>
      <c r="J14" s="17"/>
      <c r="K14" s="17"/>
    </row>
    <row r="15" spans="1:12">
      <c r="A15" s="15">
        <v>10413003</v>
      </c>
      <c r="B15" s="33" t="e">
        <f>VLOOKUP(A15,#REF!,3,FALSE)</f>
        <v>#REF!</v>
      </c>
      <c r="C15" s="16" t="s">
        <v>96</v>
      </c>
      <c r="D15" s="17"/>
      <c r="E15" s="17">
        <v>102576.83</v>
      </c>
      <c r="F15" s="17"/>
      <c r="G15" s="17">
        <v>102576.83</v>
      </c>
      <c r="H15" s="17"/>
      <c r="I15" s="17">
        <v>102576.83</v>
      </c>
      <c r="J15" s="17"/>
      <c r="K15" s="17"/>
    </row>
    <row r="16" spans="1:12">
      <c r="A16" s="15">
        <v>10413004</v>
      </c>
      <c r="B16" s="33" t="e">
        <f>VLOOKUP(A16,#REF!,3,FALSE)</f>
        <v>#REF!</v>
      </c>
      <c r="C16" s="16" t="s">
        <v>97</v>
      </c>
      <c r="D16" s="17">
        <v>59664.92</v>
      </c>
      <c r="E16" s="17">
        <v>156747.73000000001</v>
      </c>
      <c r="F16" s="17"/>
      <c r="G16" s="17">
        <v>97082.81</v>
      </c>
      <c r="H16" s="17"/>
      <c r="I16" s="17">
        <v>97082.81</v>
      </c>
      <c r="J16" s="17"/>
      <c r="K16" s="17"/>
    </row>
    <row r="17" spans="1:11">
      <c r="A17" s="15">
        <v>10413005</v>
      </c>
      <c r="B17" s="33" t="e">
        <f>VLOOKUP(A17,#REF!,3,FALSE)</f>
        <v>#REF!</v>
      </c>
      <c r="C17" s="16" t="s">
        <v>98</v>
      </c>
      <c r="D17" s="17">
        <v>269572.34999999998</v>
      </c>
      <c r="E17" s="17">
        <v>84602.71</v>
      </c>
      <c r="F17" s="17">
        <v>184969.64</v>
      </c>
      <c r="G17" s="17"/>
      <c r="H17" s="17">
        <v>184969.64</v>
      </c>
      <c r="I17" s="17"/>
      <c r="J17" s="17"/>
      <c r="K17" s="17"/>
    </row>
    <row r="18" spans="1:11">
      <c r="A18" s="15">
        <v>10415001</v>
      </c>
      <c r="B18" s="33" t="e">
        <f>VLOOKUP(A18,#REF!,3,FALSE)</f>
        <v>#REF!</v>
      </c>
      <c r="C18" s="16" t="s">
        <v>99</v>
      </c>
      <c r="D18" s="17">
        <v>76543.66</v>
      </c>
      <c r="E18" s="17"/>
      <c r="F18" s="17">
        <v>76543.66</v>
      </c>
      <c r="G18" s="17"/>
      <c r="H18" s="17">
        <v>76543.66</v>
      </c>
      <c r="I18" s="17"/>
      <c r="J18" s="17"/>
      <c r="K18" s="17"/>
    </row>
    <row r="19" spans="1:11">
      <c r="A19" s="15">
        <v>10415002</v>
      </c>
      <c r="B19" s="33" t="e">
        <f>VLOOKUP(A19,#REF!,3,FALSE)</f>
        <v>#REF!</v>
      </c>
      <c r="C19" s="16" t="s">
        <v>100</v>
      </c>
      <c r="D19" s="17">
        <v>12292.92</v>
      </c>
      <c r="E19" s="17">
        <v>70869.39</v>
      </c>
      <c r="F19" s="17"/>
      <c r="G19" s="17">
        <v>58576.47</v>
      </c>
      <c r="H19" s="17"/>
      <c r="I19" s="17">
        <v>58576.47</v>
      </c>
      <c r="J19" s="17"/>
      <c r="K19" s="17"/>
    </row>
    <row r="20" spans="1:11">
      <c r="A20" s="15">
        <v>10621001</v>
      </c>
      <c r="B20" s="33" t="e">
        <f>VLOOKUP(A20,#REF!,3,FALSE)</f>
        <v>#REF!</v>
      </c>
      <c r="C20" s="16" t="s">
        <v>101</v>
      </c>
      <c r="D20" s="17">
        <v>515904.17</v>
      </c>
      <c r="E20" s="17"/>
      <c r="F20" s="17">
        <v>515904.17</v>
      </c>
      <c r="G20" s="17"/>
      <c r="H20" s="17">
        <v>515904.17</v>
      </c>
      <c r="I20" s="17"/>
      <c r="J20" s="17"/>
      <c r="K20" s="17"/>
    </row>
    <row r="21" spans="1:11">
      <c r="A21" s="15">
        <v>10711001</v>
      </c>
      <c r="B21" s="33" t="e">
        <f>VLOOKUP(A21,#REF!,3,FALSE)</f>
        <v>#REF!</v>
      </c>
      <c r="C21" s="16" t="s">
        <v>102</v>
      </c>
      <c r="D21" s="17">
        <v>966505.29</v>
      </c>
      <c r="E21" s="17">
        <v>970292.98</v>
      </c>
      <c r="F21" s="17"/>
      <c r="G21" s="17">
        <v>3787.69</v>
      </c>
      <c r="H21" s="17"/>
      <c r="I21" s="17">
        <v>3787.69</v>
      </c>
      <c r="J21" s="17"/>
      <c r="K21" s="17"/>
    </row>
  </sheetData>
  <mergeCells count="3">
    <mergeCell ref="D1:E1"/>
    <mergeCell ref="H1:I1"/>
    <mergeCell ref="J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37"/>
  <sheetViews>
    <sheetView workbookViewId="0">
      <pane ySplit="2" topLeftCell="A3" activePane="bottomLeft" state="frozen"/>
      <selection pane="bottomLeft" activeCell="J24" sqref="J24"/>
    </sheetView>
  </sheetViews>
  <sheetFormatPr baseColWidth="10" defaultColWidth="9.109375" defaultRowHeight="13.2"/>
  <cols>
    <col min="1" max="1" width="10.88671875" style="3" bestFit="1" customWidth="1"/>
    <col min="2" max="2" width="15.6640625" style="3" bestFit="1" customWidth="1"/>
    <col min="3" max="3" width="15.33203125" style="1" bestFit="1" customWidth="1"/>
    <col min="4" max="4" width="30.33203125" style="1" customWidth="1"/>
    <col min="5" max="5" width="23" style="1" customWidth="1"/>
    <col min="6" max="6" width="19.5546875" style="1" customWidth="1"/>
    <col min="7" max="7" width="20.5546875" style="1" bestFit="1" customWidth="1"/>
    <col min="8" max="8" width="11.5546875" style="1" customWidth="1"/>
    <col min="9" max="9" width="13.44140625" style="4" bestFit="1" customWidth="1"/>
    <col min="10" max="10" width="11.6640625" style="4" bestFit="1" customWidth="1"/>
    <col min="11" max="11" width="16.6640625" style="4" bestFit="1" customWidth="1"/>
    <col min="12" max="12" width="13.5546875" style="4" bestFit="1" customWidth="1"/>
    <col min="13" max="13" width="13" style="4" bestFit="1" customWidth="1"/>
    <col min="14" max="14" width="13.6640625" style="4" bestFit="1" customWidth="1"/>
    <col min="15" max="15" width="11.44140625" style="2" bestFit="1" customWidth="1"/>
    <col min="16" max="16" width="18.88671875" style="2" bestFit="1" customWidth="1"/>
    <col min="17" max="17" width="9.44140625" style="2" bestFit="1" customWidth="1"/>
    <col min="18" max="18" width="14.33203125" style="2" bestFit="1" customWidth="1"/>
    <col min="19" max="19" width="12.109375" style="2" bestFit="1" customWidth="1"/>
    <col min="20" max="21" width="11.5546875" style="2" bestFit="1" customWidth="1"/>
    <col min="22" max="22" width="11.44140625" style="2" bestFit="1" customWidth="1"/>
    <col min="23" max="24" width="15.33203125" style="2" bestFit="1" customWidth="1"/>
    <col min="25" max="25" width="10.6640625" style="2" bestFit="1" customWidth="1"/>
    <col min="26" max="26" width="18.88671875" style="2" bestFit="1" customWidth="1"/>
    <col min="27" max="27" width="17.44140625" style="2" bestFit="1" customWidth="1"/>
    <col min="28" max="28" width="9.88671875" style="2" bestFit="1" customWidth="1"/>
    <col min="29" max="29" width="10.88671875" style="2" bestFit="1" customWidth="1"/>
    <col min="30" max="30" width="7.88671875" style="2" bestFit="1" customWidth="1"/>
    <col min="31" max="31" width="13" style="2" bestFit="1" customWidth="1"/>
    <col min="32" max="16384" width="9.109375" style="2"/>
  </cols>
  <sheetData>
    <row r="1" spans="1:3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spans="1:31">
      <c r="A2" s="10" t="s">
        <v>31</v>
      </c>
      <c r="B2" s="10" t="s">
        <v>32</v>
      </c>
      <c r="C2" s="10" t="s">
        <v>33</v>
      </c>
      <c r="D2" s="10" t="s">
        <v>34</v>
      </c>
      <c r="E2" s="10" t="s">
        <v>35</v>
      </c>
      <c r="F2" s="10" t="s">
        <v>36</v>
      </c>
      <c r="G2" s="10" t="s">
        <v>37</v>
      </c>
      <c r="H2" s="10" t="s">
        <v>38</v>
      </c>
      <c r="I2" s="10" t="s">
        <v>39</v>
      </c>
      <c r="J2" s="10" t="s">
        <v>40</v>
      </c>
      <c r="K2" s="10" t="s">
        <v>41</v>
      </c>
      <c r="L2" s="10" t="s">
        <v>42</v>
      </c>
      <c r="M2" s="10" t="s">
        <v>43</v>
      </c>
      <c r="N2" s="10" t="s">
        <v>44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  <c r="Y2" s="2" t="s">
        <v>24</v>
      </c>
      <c r="Z2" s="2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45</v>
      </c>
    </row>
    <row r="3" spans="1:31">
      <c r="A3" s="3">
        <v>1</v>
      </c>
      <c r="B3" s="3">
        <v>0</v>
      </c>
      <c r="C3" s="1" t="s">
        <v>46</v>
      </c>
      <c r="E3" s="1" t="s">
        <v>65</v>
      </c>
      <c r="F3" s="1" t="s">
        <v>65</v>
      </c>
      <c r="G3" s="1" t="s">
        <v>65</v>
      </c>
      <c r="I3" s="4">
        <v>33140.959999999999</v>
      </c>
    </row>
    <row r="4" spans="1:31">
      <c r="A4" s="3">
        <v>1</v>
      </c>
      <c r="B4" s="3">
        <v>1</v>
      </c>
      <c r="C4" s="1" t="s">
        <v>103</v>
      </c>
      <c r="E4" s="1" t="s">
        <v>65</v>
      </c>
      <c r="F4" s="1" t="s">
        <v>65</v>
      </c>
      <c r="G4" s="1" t="s">
        <v>65</v>
      </c>
      <c r="I4" s="4">
        <v>2500</v>
      </c>
    </row>
    <row r="5" spans="1:31">
      <c r="A5" s="3">
        <v>1</v>
      </c>
      <c r="B5" s="3">
        <v>2</v>
      </c>
      <c r="C5" s="1" t="s">
        <v>49</v>
      </c>
      <c r="E5" s="1" t="s">
        <v>65</v>
      </c>
      <c r="F5" s="1" t="s">
        <v>65</v>
      </c>
      <c r="G5" s="1" t="s">
        <v>65</v>
      </c>
      <c r="I5" s="4">
        <v>163954</v>
      </c>
    </row>
    <row r="6" spans="1:31">
      <c r="A6" s="3">
        <v>1</v>
      </c>
      <c r="B6" s="3">
        <v>3</v>
      </c>
      <c r="C6" s="1" t="s">
        <v>50</v>
      </c>
      <c r="E6" s="1" t="s">
        <v>65</v>
      </c>
      <c r="F6" s="1" t="s">
        <v>65</v>
      </c>
      <c r="G6" s="1" t="s">
        <v>65</v>
      </c>
      <c r="J6" s="4">
        <v>102576.83</v>
      </c>
    </row>
    <row r="7" spans="1:31">
      <c r="A7" s="3">
        <v>1</v>
      </c>
      <c r="B7" s="3">
        <v>4</v>
      </c>
      <c r="C7" s="1" t="s">
        <v>48</v>
      </c>
      <c r="E7" s="1" t="s">
        <v>65</v>
      </c>
      <c r="F7" s="1" t="s">
        <v>65</v>
      </c>
      <c r="G7" s="1" t="s">
        <v>65</v>
      </c>
      <c r="J7" s="4">
        <v>135406.37</v>
      </c>
    </row>
    <row r="8" spans="1:31">
      <c r="A8" s="3">
        <v>1</v>
      </c>
      <c r="B8" s="3">
        <v>5</v>
      </c>
      <c r="C8" s="1" t="s">
        <v>51</v>
      </c>
      <c r="E8" s="1" t="s">
        <v>65</v>
      </c>
      <c r="F8" s="1" t="s">
        <v>65</v>
      </c>
      <c r="G8" s="1" t="s">
        <v>65</v>
      </c>
      <c r="J8" s="4">
        <v>3787.69</v>
      </c>
    </row>
    <row r="9" spans="1:31">
      <c r="A9" s="3">
        <v>1</v>
      </c>
      <c r="B9" s="3">
        <v>6</v>
      </c>
      <c r="C9" s="1" t="s">
        <v>66</v>
      </c>
      <c r="E9" s="1" t="s">
        <v>65</v>
      </c>
      <c r="F9" s="1" t="s">
        <v>65</v>
      </c>
      <c r="G9" s="1" t="s">
        <v>65</v>
      </c>
      <c r="I9" s="4">
        <v>515904.17</v>
      </c>
    </row>
    <row r="10" spans="1:31">
      <c r="A10" s="5">
        <v>1</v>
      </c>
      <c r="B10" s="5">
        <v>6</v>
      </c>
      <c r="C10" s="6" t="s">
        <v>52</v>
      </c>
      <c r="D10" s="6" t="s">
        <v>53</v>
      </c>
      <c r="E10" s="6" t="s">
        <v>65</v>
      </c>
      <c r="F10" s="6" t="s">
        <v>65</v>
      </c>
      <c r="G10" s="6" t="s">
        <v>65</v>
      </c>
      <c r="H10" s="6"/>
      <c r="I10" s="7"/>
      <c r="J10" s="8">
        <v>473728.24</v>
      </c>
      <c r="K10" s="8"/>
      <c r="L10" s="8"/>
      <c r="M10" s="8"/>
      <c r="N10" s="8"/>
    </row>
    <row r="11" spans="1:31">
      <c r="A11" s="3">
        <v>2</v>
      </c>
      <c r="B11" s="3">
        <v>0</v>
      </c>
      <c r="C11" s="1" t="s">
        <v>54</v>
      </c>
      <c r="E11" s="1" t="s">
        <v>65</v>
      </c>
      <c r="F11" s="1" t="s">
        <v>65</v>
      </c>
      <c r="G11" s="1" t="s">
        <v>65</v>
      </c>
      <c r="H11" s="1" t="s">
        <v>55</v>
      </c>
      <c r="J11" s="4">
        <v>111903.09</v>
      </c>
      <c r="L11" s="4">
        <v>40209.519999999997</v>
      </c>
      <c r="N11" s="4">
        <v>40209.519999999997</v>
      </c>
      <c r="O11" s="2">
        <f>+J11/L11</f>
        <v>2.7829998965419134</v>
      </c>
    </row>
    <row r="12" spans="1:31">
      <c r="A12" s="3">
        <v>2</v>
      </c>
      <c r="B12" s="3">
        <v>1</v>
      </c>
      <c r="C12" s="1" t="s">
        <v>56</v>
      </c>
      <c r="E12" s="1" t="s">
        <v>65</v>
      </c>
      <c r="F12" s="1" t="s">
        <v>65</v>
      </c>
      <c r="G12" s="1" t="s">
        <v>65</v>
      </c>
      <c r="H12" s="1" t="s">
        <v>55</v>
      </c>
      <c r="I12" s="4">
        <v>323742.15999999997</v>
      </c>
      <c r="K12" s="4">
        <v>116328.48</v>
      </c>
      <c r="M12" s="4">
        <v>116328.48</v>
      </c>
      <c r="O12" s="2">
        <f>+I12/M12</f>
        <v>2.7830000013754153</v>
      </c>
    </row>
    <row r="13" spans="1:31">
      <c r="A13" s="3">
        <v>2</v>
      </c>
      <c r="B13" s="3">
        <v>2</v>
      </c>
      <c r="C13" s="1" t="s">
        <v>57</v>
      </c>
      <c r="E13" s="1" t="s">
        <v>65</v>
      </c>
      <c r="F13" s="1" t="s">
        <v>65</v>
      </c>
      <c r="G13" s="1" t="s">
        <v>65</v>
      </c>
      <c r="H13" s="1" t="s">
        <v>55</v>
      </c>
      <c r="I13" s="4">
        <v>24120.1</v>
      </c>
      <c r="K13" s="4">
        <v>8676.2999999999993</v>
      </c>
      <c r="M13" s="4">
        <v>8676.2999999999993</v>
      </c>
      <c r="O13" s="2">
        <f t="shared" ref="O13:O14" si="0">+I13/M13</f>
        <v>2.7799983864089532</v>
      </c>
    </row>
    <row r="14" spans="1:31">
      <c r="A14" s="3">
        <v>2</v>
      </c>
      <c r="B14" s="3">
        <v>3</v>
      </c>
      <c r="C14" s="1" t="s">
        <v>59</v>
      </c>
      <c r="E14" s="1" t="s">
        <v>65</v>
      </c>
      <c r="F14" s="1" t="s">
        <v>65</v>
      </c>
      <c r="G14" s="1" t="s">
        <v>65</v>
      </c>
      <c r="H14" s="1" t="s">
        <v>55</v>
      </c>
      <c r="I14" s="4">
        <v>184969.64</v>
      </c>
      <c r="K14" s="4">
        <v>66535.839999999997</v>
      </c>
      <c r="M14" s="4">
        <v>66535.839999999997</v>
      </c>
      <c r="O14" s="2">
        <f t="shared" si="0"/>
        <v>2.7800000721415712</v>
      </c>
    </row>
    <row r="15" spans="1:31">
      <c r="A15" s="3">
        <v>2</v>
      </c>
      <c r="B15" s="3">
        <v>4</v>
      </c>
      <c r="C15" s="1" t="s">
        <v>58</v>
      </c>
      <c r="E15" s="1" t="s">
        <v>65</v>
      </c>
      <c r="F15" s="1" t="s">
        <v>65</v>
      </c>
      <c r="G15" s="1" t="s">
        <v>65</v>
      </c>
      <c r="H15" s="1" t="s">
        <v>55</v>
      </c>
      <c r="J15" s="4">
        <v>2986548.43</v>
      </c>
      <c r="L15" s="4">
        <v>1073139.93</v>
      </c>
      <c r="N15" s="4">
        <v>1073139.93</v>
      </c>
      <c r="O15" s="2" t="e">
        <f>+I15/M15</f>
        <v>#DIV/0!</v>
      </c>
    </row>
    <row r="16" spans="1:31">
      <c r="A16" s="3">
        <v>2</v>
      </c>
      <c r="B16" s="3">
        <v>5</v>
      </c>
      <c r="C16" s="1" t="s">
        <v>60</v>
      </c>
      <c r="E16" s="1" t="s">
        <v>65</v>
      </c>
      <c r="F16" s="1" t="s">
        <v>65</v>
      </c>
      <c r="G16" s="1" t="s">
        <v>65</v>
      </c>
      <c r="H16" s="1" t="s">
        <v>55</v>
      </c>
      <c r="J16" s="4">
        <v>97082.81</v>
      </c>
      <c r="L16" s="4">
        <v>34884.230000000003</v>
      </c>
      <c r="N16" s="4">
        <v>34884.230000000003</v>
      </c>
    </row>
    <row r="17" spans="1:15">
      <c r="A17" s="3">
        <v>2</v>
      </c>
      <c r="B17" s="3">
        <v>6</v>
      </c>
      <c r="C17" s="1" t="s">
        <v>67</v>
      </c>
      <c r="E17" s="1" t="s">
        <v>65</v>
      </c>
      <c r="F17" s="1" t="s">
        <v>65</v>
      </c>
      <c r="G17" s="1" t="s">
        <v>65</v>
      </c>
      <c r="H17" s="1" t="s">
        <v>55</v>
      </c>
      <c r="I17" s="4">
        <v>76543.66</v>
      </c>
      <c r="K17" s="4">
        <v>27533.69</v>
      </c>
      <c r="M17" s="4">
        <v>27533.69</v>
      </c>
    </row>
    <row r="18" spans="1:15">
      <c r="A18" s="3">
        <v>2</v>
      </c>
      <c r="B18" s="3">
        <v>7</v>
      </c>
      <c r="C18" s="1" t="s">
        <v>61</v>
      </c>
      <c r="E18" s="1" t="s">
        <v>65</v>
      </c>
      <c r="F18" s="1" t="s">
        <v>65</v>
      </c>
      <c r="G18" s="1" t="s">
        <v>65</v>
      </c>
      <c r="H18" s="1" t="s">
        <v>55</v>
      </c>
      <c r="J18" s="4">
        <v>58576.47</v>
      </c>
      <c r="L18" s="4">
        <v>21047.96</v>
      </c>
      <c r="N18" s="4">
        <v>21047.96</v>
      </c>
    </row>
    <row r="19" spans="1:15">
      <c r="A19" s="3">
        <v>2</v>
      </c>
      <c r="B19" s="3">
        <v>8</v>
      </c>
      <c r="C19" s="1" t="s">
        <v>104</v>
      </c>
      <c r="E19" s="1" t="s">
        <v>65</v>
      </c>
      <c r="F19" s="1" t="s">
        <v>65</v>
      </c>
      <c r="G19" s="1" t="s">
        <v>65</v>
      </c>
      <c r="H19" s="1" t="s">
        <v>55</v>
      </c>
      <c r="I19" s="4">
        <v>64.33</v>
      </c>
      <c r="K19" s="4">
        <v>23.14</v>
      </c>
      <c r="M19" s="4">
        <v>23.14</v>
      </c>
    </row>
    <row r="20" spans="1:15">
      <c r="A20" s="5">
        <v>2</v>
      </c>
      <c r="B20" s="5">
        <v>9</v>
      </c>
      <c r="C20" s="6" t="s">
        <v>52</v>
      </c>
      <c r="D20" s="6" t="s">
        <v>62</v>
      </c>
      <c r="E20" s="6" t="s">
        <v>65</v>
      </c>
      <c r="F20" s="6" t="s">
        <v>65</v>
      </c>
      <c r="G20" s="6" t="s">
        <v>65</v>
      </c>
      <c r="H20" s="6" t="s">
        <v>55</v>
      </c>
      <c r="I20" s="8">
        <v>2644670.91</v>
      </c>
      <c r="J20" s="8"/>
      <c r="K20" s="8">
        <v>950184.19</v>
      </c>
      <c r="L20" s="8"/>
      <c r="M20" s="8">
        <v>950184.19</v>
      </c>
      <c r="N20" s="8">
        <v>368689.88</v>
      </c>
      <c r="O20" s="4">
        <f>M20-N20</f>
        <v>581494.30999999994</v>
      </c>
    </row>
    <row r="22" spans="1:15">
      <c r="M22" s="4">
        <f>SUM(M12:M19)</f>
        <v>219097.45</v>
      </c>
      <c r="N22" s="4">
        <f>SUM(N11:N20)</f>
        <v>1537971.52</v>
      </c>
      <c r="O22" s="4">
        <f>M22-N22</f>
        <v>-1318874.07</v>
      </c>
    </row>
    <row r="28" spans="1:15">
      <c r="I28" s="11"/>
    </row>
    <row r="29" spans="1:15">
      <c r="I29" s="11"/>
    </row>
    <row r="30" spans="1:15">
      <c r="I30" s="11"/>
    </row>
    <row r="31" spans="1:15">
      <c r="I31" s="11"/>
    </row>
    <row r="32" spans="1:15">
      <c r="I32" s="11"/>
    </row>
    <row r="33" spans="9:11">
      <c r="I33" s="11"/>
    </row>
    <row r="34" spans="9:11">
      <c r="I34" s="11"/>
    </row>
    <row r="35" spans="9:11">
      <c r="I35" s="11"/>
    </row>
    <row r="36" spans="9:11">
      <c r="I36" s="11"/>
    </row>
    <row r="37" spans="9:11">
      <c r="I37" s="11"/>
      <c r="K37" s="12"/>
    </row>
  </sheetData>
  <pageMargins left="0.75" right="0.75" top="1" bottom="1" header="0.5" footer="0.5"/>
  <pageSetup paperSize="9" scale="70" orientation="portrait" horizontalDpi="4294967293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DetalleSaldosBancosFinal</vt:lpstr>
      <vt:lpstr>DetalleSaldosBancosFinal1</vt:lpstr>
      <vt:lpstr>BalanceComprobacion</vt:lpstr>
      <vt:lpstr>Detalle_Saldos_Bancos)</vt:lpstr>
    </vt:vector>
  </TitlesOfParts>
  <Manager/>
  <Company>Triton Trading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IGNACIO.RIVEROS</dc:creator>
  <cp:keywords/>
  <dc:description/>
  <cp:lastModifiedBy>Edgar Chavez</cp:lastModifiedBy>
  <cp:revision/>
  <dcterms:created xsi:type="dcterms:W3CDTF">2009-10-06T21:56:34Z</dcterms:created>
  <dcterms:modified xsi:type="dcterms:W3CDTF">2025-08-29T14:06:14Z</dcterms:modified>
  <cp:category/>
  <cp:contentStatus/>
</cp:coreProperties>
</file>