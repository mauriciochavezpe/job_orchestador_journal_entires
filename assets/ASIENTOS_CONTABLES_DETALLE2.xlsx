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lamgas-my.sharepoint.com/personal/analista_proyectos_grupollamagas_pe/Documents/Documentos/GitHub/Jobs_JE/assets/"/>
    </mc:Choice>
  </mc:AlternateContent>
  <xr:revisionPtr revIDLastSave="10" documentId="13_ncr:1_{8B53188C-8C66-48EB-A944-8F33A0B1AF8D}" xr6:coauthVersionLast="47" xr6:coauthVersionMax="47" xr10:uidLastSave="{3C8E44A0-6082-40E9-8676-56064EC2AEFD}"/>
  <bookViews>
    <workbookView xWindow="-108" yWindow="-108" windowWidth="23256" windowHeight="13896" xr2:uid="{00000000-000D-0000-FFFF-FFFF00000000}"/>
  </bookViews>
  <sheets>
    <sheet name="DetalleSaldosBancosFinal" sheetId="5" r:id="rId1"/>
    <sheet name="DetalleSaldosBancosFinal1" sheetId="3" state="hidden" r:id="rId2"/>
    <sheet name="BalanceComprobacion" sheetId="4" state="hidden" r:id="rId3"/>
    <sheet name="Detalle_Saldos_Bancos)" sheetId="2" state="hidden" r:id="rId4"/>
  </sheets>
  <definedNames>
    <definedName name="_xlnm._FilterDatabase" localSheetId="3" hidden="1">'Detalle_Saldos_Bancos)'!$A$2:$AE$20</definedName>
    <definedName name="_xlnm._FilterDatabase" localSheetId="0" hidden="1">DetalleSaldosBancosFinal!$A$1:$R$106</definedName>
    <definedName name="_xlnm._FilterDatabase" localSheetId="1" hidden="1">DetalleSaldosBancosFinal1!$A$2:$AE$20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2" l="1"/>
  <c r="N22" i="2" l="1"/>
  <c r="M22" i="2"/>
  <c r="O20" i="2"/>
  <c r="O22" i="2" l="1"/>
  <c r="D9" i="4"/>
  <c r="B21" i="4" l="1"/>
  <c r="B20" i="4"/>
  <c r="B19" i="4"/>
  <c r="B18" i="4"/>
  <c r="B17" i="4"/>
  <c r="B16" i="4"/>
  <c r="B15" i="4"/>
  <c r="B14" i="4"/>
  <c r="B13" i="4"/>
  <c r="B12" i="4"/>
  <c r="B10" i="4"/>
  <c r="B9" i="4"/>
  <c r="B7" i="4"/>
  <c r="B6" i="4"/>
  <c r="B5" i="4"/>
  <c r="B4" i="4"/>
  <c r="AG19" i="3" l="1"/>
  <c r="AF20" i="3"/>
  <c r="AG20" i="3"/>
  <c r="AF19" i="3"/>
  <c r="AG4" i="3"/>
  <c r="AG8" i="3"/>
  <c r="AG12" i="3"/>
  <c r="AG16" i="3"/>
  <c r="AF6" i="3"/>
  <c r="AF10" i="3"/>
  <c r="AF14" i="3"/>
  <c r="AF18" i="3"/>
  <c r="AG5" i="3"/>
  <c r="AG9" i="3"/>
  <c r="AG13" i="3"/>
  <c r="AG17" i="3"/>
  <c r="AG3" i="3"/>
  <c r="AF7" i="3"/>
  <c r="AF11" i="3"/>
  <c r="AF15" i="3"/>
  <c r="AG6" i="3"/>
  <c r="AG10" i="3"/>
  <c r="AG14" i="3"/>
  <c r="AG18" i="3"/>
  <c r="AF4" i="3"/>
  <c r="AF8" i="3"/>
  <c r="AF12" i="3"/>
  <c r="AF16" i="3"/>
  <c r="AG7" i="3"/>
  <c r="AG11" i="3"/>
  <c r="AG15" i="3"/>
  <c r="AF5" i="3"/>
  <c r="AF9" i="3"/>
  <c r="AF13" i="3"/>
  <c r="AF17" i="3"/>
  <c r="AF3" i="3"/>
  <c r="O15" i="3"/>
  <c r="O14" i="3"/>
  <c r="O13" i="3"/>
  <c r="O12" i="3"/>
  <c r="O11" i="3"/>
  <c r="O14" i="2" l="1"/>
  <c r="O13" i="2"/>
  <c r="O12" i="2"/>
  <c r="O11" i="2"/>
</calcChain>
</file>

<file path=xl/sharedStrings.xml><?xml version="1.0" encoding="utf-8"?>
<sst xmlns="http://schemas.openxmlformats.org/spreadsheetml/2006/main" count="781" uniqueCount="288">
  <si>
    <t>ParentKey</t>
  </si>
  <si>
    <t>LineNum</t>
  </si>
  <si>
    <t>AccountCode</t>
  </si>
  <si>
    <t>LineMemo</t>
  </si>
  <si>
    <t>DueDate</t>
  </si>
  <si>
    <t>TaxDate</t>
  </si>
  <si>
    <t>VatDate</t>
  </si>
  <si>
    <t>FCCurrency</t>
  </si>
  <si>
    <t>Debit</t>
  </si>
  <si>
    <t>Credit</t>
  </si>
  <si>
    <t>FCDebit</t>
  </si>
  <si>
    <t>FCCredit</t>
  </si>
  <si>
    <t>DebitSys</t>
  </si>
  <si>
    <t>CreditSys</t>
  </si>
  <si>
    <t>Reference2</t>
  </si>
  <si>
    <t>AdditionalReference</t>
  </si>
  <si>
    <t>BaseSum</t>
  </si>
  <si>
    <t>ContraAccount</t>
  </si>
  <si>
    <t>CostingCode</t>
  </si>
  <si>
    <t>GrossValue</t>
  </si>
  <si>
    <t>ProjectCode</t>
  </si>
  <si>
    <t>Reference1</t>
  </si>
  <si>
    <t>ReferenceDate1</t>
  </si>
  <si>
    <t>ReferenceDate2</t>
  </si>
  <si>
    <t>ShortName</t>
  </si>
  <si>
    <t>SystemBaseAmount</t>
  </si>
  <si>
    <t>SystemVatAmount</t>
  </si>
  <si>
    <t>TaxGroup</t>
  </si>
  <si>
    <t>VatAmount</t>
  </si>
  <si>
    <t>VatLine</t>
  </si>
  <si>
    <t>U_BPP_CTAD</t>
  </si>
  <si>
    <t>Correlativo</t>
  </si>
  <si>
    <t>Numero de Linea</t>
  </si>
  <si>
    <t>Cuenta Contable</t>
  </si>
  <si>
    <t>Observaciones</t>
  </si>
  <si>
    <t>Fecha de Contabilizacion</t>
  </si>
  <si>
    <t>Fecha de Documento</t>
  </si>
  <si>
    <t>Fecha de Vencimiento</t>
  </si>
  <si>
    <t>Moneda</t>
  </si>
  <si>
    <t>Debe Soles</t>
  </si>
  <si>
    <t>Haber Soles</t>
  </si>
  <si>
    <t>Debe Dolares</t>
  </si>
  <si>
    <t>Haber Dolares</t>
  </si>
  <si>
    <t>Debe Sistema</t>
  </si>
  <si>
    <t>Haber Sistema</t>
  </si>
  <si>
    <t>Cta Destino</t>
  </si>
  <si>
    <t>1011101</t>
  </si>
  <si>
    <t>1021101</t>
  </si>
  <si>
    <t>1041101</t>
  </si>
  <si>
    <t>1041107</t>
  </si>
  <si>
    <t>1041110</t>
  </si>
  <si>
    <t>1042101</t>
  </si>
  <si>
    <t>9901</t>
  </si>
  <si>
    <t>Cuenta de Cierre de Bancos SOL</t>
  </si>
  <si>
    <t>1041102</t>
  </si>
  <si>
    <t>USD</t>
  </si>
  <si>
    <t>1041103</t>
  </si>
  <si>
    <t>1041106</t>
  </si>
  <si>
    <t>1041109</t>
  </si>
  <si>
    <t>1041108</t>
  </si>
  <si>
    <t>1041111</t>
  </si>
  <si>
    <t>1041113</t>
  </si>
  <si>
    <t>Cuenta de Cierre de Bancos USD</t>
  </si>
  <si>
    <t>CargoSoles</t>
  </si>
  <si>
    <t>AbonoSoles</t>
  </si>
  <si>
    <t>20130630</t>
  </si>
  <si>
    <t>1062101</t>
  </si>
  <si>
    <t>1041112</t>
  </si>
  <si>
    <t>1041104</t>
  </si>
  <si>
    <t>NUM.</t>
  </si>
  <si>
    <t>CTA</t>
  </si>
  <si>
    <t>SUMAS DEL MAYOR</t>
  </si>
  <si>
    <t>SALDOS</t>
  </si>
  <si>
    <t>INVENTARIO</t>
  </si>
  <si>
    <t>RESULTADOS</t>
  </si>
  <si>
    <t>CTA.</t>
  </si>
  <si>
    <t>SAP</t>
  </si>
  <si>
    <t>D E S C R I P C I O N</t>
  </si>
  <si>
    <t>D E B E</t>
  </si>
  <si>
    <t>H A B E R</t>
  </si>
  <si>
    <t>DEUDOR</t>
  </si>
  <si>
    <t>ACREEDOR</t>
  </si>
  <si>
    <t>A C T I V O</t>
  </si>
  <si>
    <t>P A S I V O</t>
  </si>
  <si>
    <t>PERDIDAS</t>
  </si>
  <si>
    <t>GANANCIAS</t>
  </si>
  <si>
    <t>CAJA SOLES</t>
  </si>
  <si>
    <t>CAJA DOLARES</t>
  </si>
  <si>
    <t>FONDOS FIJOS  ÑAÑA</t>
  </si>
  <si>
    <t>BANCO SCOTIABANK GTIA ME 000-169</t>
  </si>
  <si>
    <t>BANCO SCOTIABANK CTA GARANT ME 0</t>
  </si>
  <si>
    <t>BANCO SCOTIABANK CTA DOLARES CTA</t>
  </si>
  <si>
    <t>BANCO SCOTIABANK CTA CRED.DOC. M</t>
  </si>
  <si>
    <t>MI BANCO CTA CTE DOLARES 0187432</t>
  </si>
  <si>
    <t>BCO DE CREDITO CTA.CTE.002-193-0</t>
  </si>
  <si>
    <t>BANCO DE CREDITO ME 002-193-0015</t>
  </si>
  <si>
    <t>OPALO BCO.CRED S/.191-1709699-0-</t>
  </si>
  <si>
    <t>OPALO BCO. CRED. $ 191-169455-1-</t>
  </si>
  <si>
    <t>BCO DE CREDITO CTA CTE ME $ 193-</t>
  </si>
  <si>
    <t>BANCO INTERBANK/EX LATINO CTA CT</t>
  </si>
  <si>
    <t>BANCO INTERBANK CTA CTE ME 003-0</t>
  </si>
  <si>
    <t>DEPOSITO A PLAZO SCOTIABANK</t>
  </si>
  <si>
    <t>BANCO DE LA NACION CTA DETRACCIO</t>
  </si>
  <si>
    <t>1020101</t>
  </si>
  <si>
    <t>1041114</t>
  </si>
  <si>
    <t>U_INFOPE01</t>
  </si>
  <si>
    <t>U_INFOPE02</t>
  </si>
  <si>
    <t>94211202</t>
  </si>
  <si>
    <t>94221104</t>
  </si>
  <si>
    <t>94211402</t>
  </si>
  <si>
    <t>94211105</t>
  </si>
  <si>
    <t>94221101</t>
  </si>
  <si>
    <t>94221102</t>
  </si>
  <si>
    <t>94211602</t>
  </si>
  <si>
    <t>94271101</t>
  </si>
  <si>
    <t>1000</t>
  </si>
  <si>
    <t>1200</t>
  </si>
  <si>
    <t>300</t>
  </si>
  <si>
    <t>1100</t>
  </si>
  <si>
    <t>600</t>
  </si>
  <si>
    <t>100</t>
  </si>
  <si>
    <t>500</t>
  </si>
  <si>
    <t>250</t>
  </si>
  <si>
    <t>171</t>
  </si>
  <si>
    <t>101.7</t>
  </si>
  <si>
    <t>10.17</t>
  </si>
  <si>
    <t>269.56</t>
  </si>
  <si>
    <t>288</t>
  </si>
  <si>
    <t>173</t>
  </si>
  <si>
    <t>96</t>
  </si>
  <si>
    <t>2480</t>
  </si>
  <si>
    <t>800</t>
  </si>
  <si>
    <t>1185.5</t>
  </si>
  <si>
    <t>2518.83</t>
  </si>
  <si>
    <t>88.26</t>
  </si>
  <si>
    <t>160</t>
  </si>
  <si>
    <t>395.66</t>
  </si>
  <si>
    <t>127.53</t>
  </si>
  <si>
    <t>113.33</t>
  </si>
  <si>
    <t>165.32</t>
  </si>
  <si>
    <t>106.7</t>
  </si>
  <si>
    <t>170.02</t>
  </si>
  <si>
    <t>550.17</t>
  </si>
  <si>
    <t>289.17</t>
  </si>
  <si>
    <t>247.25</t>
  </si>
  <si>
    <t>910.17</t>
  </si>
  <si>
    <t>189</t>
  </si>
  <si>
    <t>126</t>
  </si>
  <si>
    <t>174.2</t>
  </si>
  <si>
    <t>108</t>
  </si>
  <si>
    <t>117</t>
  </si>
  <si>
    <t>154.85</t>
  </si>
  <si>
    <t>356.76</t>
  </si>
  <si>
    <t>290.97</t>
  </si>
  <si>
    <t>111.24</t>
  </si>
  <si>
    <t>552.6</t>
  </si>
  <si>
    <t>519.57</t>
  </si>
  <si>
    <t>297.14</t>
  </si>
  <si>
    <t>164.53</t>
  </si>
  <si>
    <t>337.23</t>
  </si>
  <si>
    <t>317.98</t>
  </si>
  <si>
    <t>139.01</t>
  </si>
  <si>
    <t>202.91</t>
  </si>
  <si>
    <t>270.01</t>
  </si>
  <si>
    <t>244.94</t>
  </si>
  <si>
    <t>119.7</t>
  </si>
  <si>
    <t>181.66</t>
  </si>
  <si>
    <t>230.41</t>
  </si>
  <si>
    <t>207.41</t>
  </si>
  <si>
    <t>217.09</t>
  </si>
  <si>
    <t>269.87</t>
  </si>
  <si>
    <t>219.38</t>
  </si>
  <si>
    <t>274.77</t>
  </si>
  <si>
    <t>226.3</t>
  </si>
  <si>
    <t>157.62</t>
  </si>
  <si>
    <t>166.81</t>
  </si>
  <si>
    <t>201.11</t>
  </si>
  <si>
    <t>140.69</t>
  </si>
  <si>
    <t>135.76</t>
  </si>
  <si>
    <t>207.2</t>
  </si>
  <si>
    <t>219.25</t>
  </si>
  <si>
    <t>214.12</t>
  </si>
  <si>
    <t>200.89</t>
  </si>
  <si>
    <t>206.33</t>
  </si>
  <si>
    <t>180.49</t>
  </si>
  <si>
    <t>169.76</t>
  </si>
  <si>
    <t>173.26</t>
  </si>
  <si>
    <t>233.9</t>
  </si>
  <si>
    <t>170.66</t>
  </si>
  <si>
    <t>201.88</t>
  </si>
  <si>
    <t>238.71</t>
  </si>
  <si>
    <t>123.09</t>
  </si>
  <si>
    <t>124.8</t>
  </si>
  <si>
    <t>160.55</t>
  </si>
  <si>
    <t>171.45</t>
  </si>
  <si>
    <t>122.67</t>
  </si>
  <si>
    <t>128.7</t>
  </si>
  <si>
    <t>193.56</t>
  </si>
  <si>
    <t>215.53</t>
  </si>
  <si>
    <t>183.88</t>
  </si>
  <si>
    <t>184.35</t>
  </si>
  <si>
    <t>102.13</t>
  </si>
  <si>
    <t>152.7</t>
  </si>
  <si>
    <t>212.5</t>
  </si>
  <si>
    <t>195.13</t>
  </si>
  <si>
    <t>PL-012507EMN0L</t>
  </si>
  <si>
    <t>PLANILLA MES DE JULIO 2025</t>
  </si>
  <si>
    <t>620115</t>
  </si>
  <si>
    <t>822911</t>
  </si>
  <si>
    <t>23871</t>
  </si>
  <si>
    <t>639936</t>
  </si>
  <si>
    <t>688044</t>
  </si>
  <si>
    <t>728773</t>
  </si>
  <si>
    <t>776438</t>
  </si>
  <si>
    <t>839240</t>
  </si>
  <si>
    <t>854196</t>
  </si>
  <si>
    <t>870084</t>
  </si>
  <si>
    <t>875739</t>
  </si>
  <si>
    <t>9003627</t>
  </si>
  <si>
    <t>862486</t>
  </si>
  <si>
    <t>24565</t>
  </si>
  <si>
    <t>24589</t>
  </si>
  <si>
    <t>24622</t>
  </si>
  <si>
    <t>24934</t>
  </si>
  <si>
    <t>25191</t>
  </si>
  <si>
    <t>26095</t>
  </si>
  <si>
    <t>26743</t>
  </si>
  <si>
    <t>41945</t>
  </si>
  <si>
    <t>148427</t>
  </si>
  <si>
    <t>156583</t>
  </si>
  <si>
    <t>167630</t>
  </si>
  <si>
    <t>584351</t>
  </si>
  <si>
    <t>597265</t>
  </si>
  <si>
    <t>600420</t>
  </si>
  <si>
    <t>636058</t>
  </si>
  <si>
    <t>644358</t>
  </si>
  <si>
    <t>674597</t>
  </si>
  <si>
    <t>686973</t>
  </si>
  <si>
    <t>688743</t>
  </si>
  <si>
    <t>692025</t>
  </si>
  <si>
    <t>713826</t>
  </si>
  <si>
    <t>721758</t>
  </si>
  <si>
    <t>722494</t>
  </si>
  <si>
    <t>725267</t>
  </si>
  <si>
    <t>741430</t>
  </si>
  <si>
    <t>744134</t>
  </si>
  <si>
    <t>753482</t>
  </si>
  <si>
    <t>760940</t>
  </si>
  <si>
    <t>760983</t>
  </si>
  <si>
    <t>779397</t>
  </si>
  <si>
    <t>798215</t>
  </si>
  <si>
    <t>798265</t>
  </si>
  <si>
    <t>798872</t>
  </si>
  <si>
    <t>799028</t>
  </si>
  <si>
    <t>813888</t>
  </si>
  <si>
    <t>816698</t>
  </si>
  <si>
    <t>816709</t>
  </si>
  <si>
    <t>822369</t>
  </si>
  <si>
    <t>824445</t>
  </si>
  <si>
    <t>825637</t>
  </si>
  <si>
    <t>830210</t>
  </si>
  <si>
    <t>848461</t>
  </si>
  <si>
    <t>867697</t>
  </si>
  <si>
    <t>873862</t>
  </si>
  <si>
    <t>885317</t>
  </si>
  <si>
    <t>897808</t>
  </si>
  <si>
    <t>9011669</t>
  </si>
  <si>
    <t>9011676</t>
  </si>
  <si>
    <t>9019379</t>
  </si>
  <si>
    <t>9021911</t>
  </si>
  <si>
    <t>9022658</t>
  </si>
  <si>
    <t>9045980</t>
  </si>
  <si>
    <t>9046946</t>
  </si>
  <si>
    <t>9055694</t>
  </si>
  <si>
    <t>9055705</t>
  </si>
  <si>
    <t>9055742</t>
  </si>
  <si>
    <t>9061643</t>
  </si>
  <si>
    <t>9066515</t>
  </si>
  <si>
    <t>9068398</t>
  </si>
  <si>
    <t>9068883</t>
  </si>
  <si>
    <t>9087514</t>
  </si>
  <si>
    <t>813858</t>
  </si>
  <si>
    <t>674842</t>
  </si>
  <si>
    <t>9013445</t>
  </si>
  <si>
    <t>9087830</t>
  </si>
  <si>
    <t>9088677</t>
  </si>
  <si>
    <t>9088678</t>
  </si>
  <si>
    <t>9095394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</si>
</sst>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0000000000"/>
    <numFmt numFmtId="166" formatCode="0.000"/>
    <numFmt numFmtId="167" formatCode="_-[$S/-280A]\ * #,##0.00_-;\-[$S/-280A]\ * #,##0.00_-;_-[$S/-280A]\ * &quot;-&quot;??_-;_-@_-"/>
  </numFmts>
  <fonts count="9">
    <font>
      <sz val="10"/>
      <name val="Arial"/>
      <charset val="134"/>
    </font>
    <font>
      <sz val="10"/>
      <name val="Arial"/>
      <family val="2"/>
    </font>
    <font>
      <sz val="10"/>
      <name val="Times New Roman"/>
      <family val="1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499984740745262"/>
        <bgColor rgb="FF000000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5" borderId="1" applyNumberFormat="0" applyAlignment="0" applyProtection="0"/>
  </cellStyleXfs>
  <cellXfs count="48">
    <xf numFmtId="0" fontId="0" fillId="0" borderId="0" xfId="0"/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1" fontId="1" fillId="2" borderId="0" xfId="0" applyNumberFormat="1" applyFont="1" applyFill="1"/>
    <xf numFmtId="49" fontId="1" fillId="2" borderId="0" xfId="0" applyNumberFormat="1" applyFont="1" applyFill="1"/>
    <xf numFmtId="2" fontId="1" fillId="2" borderId="0" xfId="1" applyNumberFormat="1" applyFont="1" applyFill="1" applyAlignment="1"/>
    <xf numFmtId="2" fontId="1" fillId="2" borderId="0" xfId="0" applyNumberFormat="1" applyFont="1" applyFill="1"/>
    <xf numFmtId="1" fontId="1" fillId="3" borderId="0" xfId="0" applyNumberFormat="1" applyFont="1" applyFill="1"/>
    <xf numFmtId="1" fontId="1" fillId="4" borderId="0" xfId="0" applyNumberFormat="1" applyFont="1" applyFill="1"/>
    <xf numFmtId="164" fontId="1" fillId="0" borderId="0" xfId="1" applyFont="1" applyFill="1" applyAlignment="1"/>
    <xf numFmtId="165" fontId="1" fillId="0" borderId="0" xfId="0" applyNumberFormat="1" applyFont="1"/>
    <xf numFmtId="0" fontId="4" fillId="6" borderId="1" xfId="3" applyFont="1" applyFill="1" applyAlignment="1">
      <alignment horizontal="center"/>
    </xf>
    <xf numFmtId="164" fontId="4" fillId="6" borderId="1" xfId="3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/>
    <xf numFmtId="164" fontId="1" fillId="8" borderId="0" xfId="1" applyFont="1" applyFill="1"/>
    <xf numFmtId="0" fontId="1" fillId="9" borderId="0" xfId="0" applyFont="1" applyFill="1" applyAlignment="1">
      <alignment horizontal="center"/>
    </xf>
    <xf numFmtId="0" fontId="1" fillId="9" borderId="0" xfId="0" applyFont="1" applyFill="1"/>
    <xf numFmtId="164" fontId="1" fillId="9" borderId="0" xfId="1" applyFont="1" applyFill="1"/>
    <xf numFmtId="164" fontId="4" fillId="6" borderId="2" xfId="3" applyNumberFormat="1" applyFont="1" applyFill="1" applyBorder="1" applyAlignment="1"/>
    <xf numFmtId="164" fontId="4" fillId="6" borderId="3" xfId="3" applyNumberFormat="1" applyFont="1" applyFill="1" applyBorder="1" applyAlignment="1"/>
    <xf numFmtId="1" fontId="1" fillId="9" borderId="0" xfId="0" applyNumberFormat="1" applyFont="1" applyFill="1"/>
    <xf numFmtId="49" fontId="1" fillId="9" borderId="0" xfId="0" applyNumberFormat="1" applyFont="1" applyFill="1"/>
    <xf numFmtId="2" fontId="1" fillId="9" borderId="0" xfId="0" applyNumberFormat="1" applyFont="1" applyFill="1"/>
    <xf numFmtId="164" fontId="0" fillId="0" borderId="0" xfId="0" applyNumberFormat="1"/>
    <xf numFmtId="1" fontId="1" fillId="10" borderId="0" xfId="0" applyNumberFormat="1" applyFont="1" applyFill="1"/>
    <xf numFmtId="49" fontId="1" fillId="10" borderId="0" xfId="0" applyNumberFormat="1" applyFont="1" applyFill="1"/>
    <xf numFmtId="2" fontId="1" fillId="10" borderId="0" xfId="0" applyNumberFormat="1" applyFont="1" applyFill="1"/>
    <xf numFmtId="0" fontId="1" fillId="10" borderId="0" xfId="0" applyFont="1" applyFill="1"/>
    <xf numFmtId="49" fontId="1" fillId="9" borderId="0" xfId="0" applyNumberFormat="1" applyFont="1" applyFill="1" applyAlignment="1">
      <alignment horizontal="center"/>
    </xf>
    <xf numFmtId="49" fontId="4" fillId="7" borderId="1" xfId="3" applyNumberFormat="1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49" fontId="0" fillId="0" borderId="0" xfId="0" applyNumberFormat="1"/>
    <xf numFmtId="166" fontId="1" fillId="0" borderId="0" xfId="0" applyNumberFormat="1" applyFont="1"/>
    <xf numFmtId="0" fontId="5" fillId="11" borderId="0" xfId="0" applyFont="1" applyFill="1"/>
    <xf numFmtId="0" fontId="6" fillId="0" borderId="0" xfId="0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2" fontId="5" fillId="11" borderId="0" xfId="0" applyNumberFormat="1" applyFont="1" applyFill="1"/>
    <xf numFmtId="2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64" fontId="4" fillId="6" borderId="2" xfId="3" applyNumberFormat="1" applyFont="1" applyFill="1" applyBorder="1" applyAlignment="1">
      <alignment horizontal="center"/>
    </xf>
    <xf numFmtId="164" fontId="4" fillId="6" borderId="3" xfId="3" applyNumberFormat="1" applyFont="1" applyFill="1" applyBorder="1" applyAlignment="1">
      <alignment horizontal="center"/>
    </xf>
  </cellXfs>
  <cellStyles count="4">
    <cellStyle name="Millares" xfId="1" builtinId="3"/>
    <cellStyle name="Normal" xfId="0" builtinId="0"/>
    <cellStyle name="Normal 2" xfId="2" xr:uid="{00000000-0005-0000-0000-000002000000}"/>
    <cellStyle name="Salida" xfId="3" builtinId="2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"/>
  <sheetViews>
    <sheetView tabSelected="1" topLeftCell="E1" zoomScale="115" zoomScaleNormal="115" workbookViewId="0">
      <selection activeCell="I106" sqref="I106"/>
    </sheetView>
  </sheetViews>
  <sheetFormatPr baseColWidth="10" defaultColWidth="9.109375" defaultRowHeight="13.2"/>
  <cols>
    <col min="1" max="1" width="9.6640625" style="3" bestFit="1" customWidth="1"/>
    <col min="2" max="2" width="15.109375" style="3" bestFit="1" customWidth="1"/>
    <col min="3" max="3" width="14.88671875" style="1" bestFit="1" customWidth="1"/>
    <col min="4" max="4" width="31.5546875" style="1" bestFit="1" customWidth="1"/>
    <col min="5" max="5" width="22.33203125" style="1" bestFit="1" customWidth="1"/>
    <col min="6" max="6" width="19" style="1" bestFit="1" customWidth="1"/>
    <col min="7" max="7" width="19.88671875" style="1" bestFit="1" customWidth="1"/>
    <col min="8" max="8" width="10.88671875" style="1" bestFit="1" customWidth="1"/>
    <col min="9" max="9" width="19.21875" style="35" bestFit="1" customWidth="1"/>
    <col min="10" max="10" width="16.33203125" style="4" bestFit="1" customWidth="1"/>
    <col min="11" max="11" width="16.5546875" style="4" bestFit="1" customWidth="1"/>
    <col min="12" max="12" width="12.109375" style="4" bestFit="1" customWidth="1"/>
    <col min="13" max="14" width="12.6640625" style="4" bestFit="1" customWidth="1"/>
    <col min="15" max="15" width="11.44140625" style="2" bestFit="1" customWidth="1"/>
    <col min="16" max="16" width="13.88671875" style="2" bestFit="1" customWidth="1"/>
    <col min="17" max="17" width="17.109375" style="2" bestFit="1" customWidth="1"/>
    <col min="18" max="18" width="27.5546875" style="2" bestFit="1" customWidth="1"/>
    <col min="19" max="16384" width="9.109375" style="2"/>
  </cols>
  <sheetData>
    <row r="1" spans="1:18">
      <c r="A1" s="36" t="s">
        <v>0</v>
      </c>
      <c r="B1" s="36" t="s">
        <v>1</v>
      </c>
      <c r="C1" s="36" t="s">
        <v>2</v>
      </c>
      <c r="D1" s="36" t="s">
        <v>24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105</v>
      </c>
      <c r="J1" s="36" t="s">
        <v>106</v>
      </c>
      <c r="K1" s="36" t="s">
        <v>14</v>
      </c>
      <c r="L1" s="36" t="s">
        <v>7</v>
      </c>
      <c r="M1" s="43" t="s">
        <v>8</v>
      </c>
      <c r="N1" s="36" t="s">
        <v>9</v>
      </c>
      <c r="O1" s="36" t="s">
        <v>14</v>
      </c>
      <c r="P1" s="36" t="s">
        <v>14</v>
      </c>
      <c r="Q1" s="36" t="s">
        <v>20</v>
      </c>
      <c r="R1" s="36" t="s">
        <v>21</v>
      </c>
    </row>
    <row r="2" spans="1:18">
      <c r="A2" s="2">
        <v>1</v>
      </c>
      <c r="B2" s="2">
        <v>1</v>
      </c>
      <c r="C2" s="38" t="s">
        <v>107</v>
      </c>
      <c r="D2" s="4"/>
      <c r="E2" s="41" t="s">
        <v>205</v>
      </c>
      <c r="F2" s="2">
        <v>20260319</v>
      </c>
      <c r="G2" s="2">
        <v>20260319</v>
      </c>
      <c r="H2" s="2">
        <v>20260319</v>
      </c>
      <c r="I2" s="42"/>
      <c r="M2" s="44" t="s">
        <v>128</v>
      </c>
      <c r="N2" s="40"/>
      <c r="P2" s="2">
        <v>307030</v>
      </c>
      <c r="R2" s="2" t="s">
        <v>206</v>
      </c>
    </row>
    <row r="3" spans="1:18">
      <c r="A3" s="2">
        <v>1</v>
      </c>
      <c r="B3" s="2">
        <v>2</v>
      </c>
      <c r="C3" s="38" t="s">
        <v>107</v>
      </c>
      <c r="D3" s="4"/>
      <c r="E3" s="41" t="s">
        <v>205</v>
      </c>
      <c r="F3" s="2">
        <v>20260319</v>
      </c>
      <c r="G3" s="2">
        <v>20260319</v>
      </c>
      <c r="H3" s="2">
        <v>20260319</v>
      </c>
      <c r="I3" s="42"/>
      <c r="M3" s="44" t="s">
        <v>129</v>
      </c>
      <c r="N3" s="40"/>
      <c r="P3" s="2">
        <v>307030</v>
      </c>
      <c r="R3" s="2" t="s">
        <v>206</v>
      </c>
    </row>
    <row r="4" spans="1:18">
      <c r="A4" s="2">
        <v>1</v>
      </c>
      <c r="B4" s="2">
        <v>3</v>
      </c>
      <c r="C4" s="38" t="s">
        <v>108</v>
      </c>
      <c r="D4" s="4"/>
      <c r="E4" s="41" t="s">
        <v>205</v>
      </c>
      <c r="F4" s="2">
        <v>20260319</v>
      </c>
      <c r="G4" s="2">
        <v>20260319</v>
      </c>
      <c r="H4" s="2">
        <v>20260319</v>
      </c>
      <c r="I4" s="42"/>
      <c r="M4" s="44" t="s">
        <v>121</v>
      </c>
      <c r="N4" s="40"/>
      <c r="P4" s="2">
        <v>307030</v>
      </c>
      <c r="R4" s="2" t="s">
        <v>206</v>
      </c>
    </row>
    <row r="5" spans="1:18">
      <c r="A5" s="2">
        <v>1</v>
      </c>
      <c r="B5" s="2">
        <v>4</v>
      </c>
      <c r="C5" s="38" t="s">
        <v>108</v>
      </c>
      <c r="D5" s="4"/>
      <c r="E5" s="41" t="s">
        <v>205</v>
      </c>
      <c r="F5" s="2">
        <v>20260319</v>
      </c>
      <c r="G5" s="2">
        <v>20260319</v>
      </c>
      <c r="H5" s="2">
        <v>20260319</v>
      </c>
      <c r="I5" s="42"/>
      <c r="M5" s="44" t="s">
        <v>121</v>
      </c>
      <c r="N5" s="40"/>
      <c r="P5" s="2">
        <v>307030</v>
      </c>
      <c r="R5" s="2" t="s">
        <v>206</v>
      </c>
    </row>
    <row r="6" spans="1:18">
      <c r="A6" s="2">
        <v>1</v>
      </c>
      <c r="B6" s="2">
        <v>5</v>
      </c>
      <c r="C6" s="38" t="s">
        <v>108</v>
      </c>
      <c r="D6" s="4"/>
      <c r="E6" s="41" t="s">
        <v>205</v>
      </c>
      <c r="F6" s="2">
        <v>20260319</v>
      </c>
      <c r="G6" s="2">
        <v>20260319</v>
      </c>
      <c r="H6" s="2">
        <v>20260319</v>
      </c>
      <c r="I6" s="42"/>
      <c r="M6" s="44" t="s">
        <v>121</v>
      </c>
      <c r="N6" s="40"/>
      <c r="P6" s="2">
        <v>307030</v>
      </c>
      <c r="R6" s="2" t="s">
        <v>206</v>
      </c>
    </row>
    <row r="7" spans="1:18">
      <c r="A7" s="2">
        <v>1</v>
      </c>
      <c r="B7" s="2">
        <v>6</v>
      </c>
      <c r="C7" s="38" t="s">
        <v>108</v>
      </c>
      <c r="D7" s="4"/>
      <c r="E7" s="41" t="s">
        <v>205</v>
      </c>
      <c r="F7" s="2">
        <v>20260319</v>
      </c>
      <c r="G7" s="2">
        <v>20260319</v>
      </c>
      <c r="H7" s="2">
        <v>20260319</v>
      </c>
      <c r="I7" s="42"/>
      <c r="M7" s="44" t="s">
        <v>120</v>
      </c>
      <c r="N7" s="40"/>
      <c r="P7" s="2">
        <v>307030</v>
      </c>
      <c r="R7" s="2" t="s">
        <v>206</v>
      </c>
    </row>
    <row r="8" spans="1:18">
      <c r="A8" s="2">
        <v>1</v>
      </c>
      <c r="B8" s="2">
        <v>7</v>
      </c>
      <c r="C8" s="38" t="s">
        <v>108</v>
      </c>
      <c r="D8" s="4"/>
      <c r="E8" s="41" t="s">
        <v>205</v>
      </c>
      <c r="F8" s="2">
        <v>20260319</v>
      </c>
      <c r="G8" s="2">
        <v>20260319</v>
      </c>
      <c r="H8" s="2">
        <v>20260319</v>
      </c>
      <c r="I8" s="42"/>
      <c r="M8" s="44" t="s">
        <v>130</v>
      </c>
      <c r="N8" s="40"/>
      <c r="P8" s="2">
        <v>307030</v>
      </c>
      <c r="R8" s="2" t="s">
        <v>206</v>
      </c>
    </row>
    <row r="9" spans="1:18">
      <c r="A9" s="2">
        <v>1</v>
      </c>
      <c r="B9" s="2">
        <v>8</v>
      </c>
      <c r="C9" s="38" t="s">
        <v>108</v>
      </c>
      <c r="D9" s="4"/>
      <c r="E9" s="41" t="s">
        <v>205</v>
      </c>
      <c r="F9" s="2">
        <v>20260319</v>
      </c>
      <c r="G9" s="2">
        <v>20260319</v>
      </c>
      <c r="H9" s="2">
        <v>20260319</v>
      </c>
      <c r="I9" s="42"/>
      <c r="M9" s="44" t="s">
        <v>121</v>
      </c>
      <c r="N9" s="40"/>
      <c r="P9" s="2">
        <v>307030</v>
      </c>
      <c r="R9" s="2" t="s">
        <v>206</v>
      </c>
    </row>
    <row r="10" spans="1:18">
      <c r="A10" s="2">
        <v>1</v>
      </c>
      <c r="B10" s="2">
        <v>9</v>
      </c>
      <c r="C10" s="38" t="s">
        <v>108</v>
      </c>
      <c r="D10" s="4"/>
      <c r="E10" s="41" t="s">
        <v>205</v>
      </c>
      <c r="F10" s="2">
        <v>20260319</v>
      </c>
      <c r="G10" s="2">
        <v>20260319</v>
      </c>
      <c r="H10" s="2">
        <v>20260319</v>
      </c>
      <c r="I10" s="42"/>
      <c r="M10" s="44" t="s">
        <v>119</v>
      </c>
      <c r="N10" s="40"/>
      <c r="P10" s="2">
        <v>307030</v>
      </c>
      <c r="R10" s="2" t="s">
        <v>206</v>
      </c>
    </row>
    <row r="11" spans="1:18">
      <c r="A11" s="2">
        <v>1</v>
      </c>
      <c r="B11" s="2">
        <v>10</v>
      </c>
      <c r="C11" s="38" t="s">
        <v>108</v>
      </c>
      <c r="D11" s="4"/>
      <c r="E11" s="41" t="s">
        <v>205</v>
      </c>
      <c r="F11" s="2">
        <v>20260319</v>
      </c>
      <c r="G11" s="2">
        <v>20260319</v>
      </c>
      <c r="H11" s="2">
        <v>20260319</v>
      </c>
      <c r="I11" s="42"/>
      <c r="M11" s="44" t="s">
        <v>121</v>
      </c>
      <c r="N11" s="40"/>
      <c r="P11" s="2">
        <v>307030</v>
      </c>
      <c r="R11" s="2" t="s">
        <v>206</v>
      </c>
    </row>
    <row r="12" spans="1:18">
      <c r="A12" s="2">
        <v>1</v>
      </c>
      <c r="B12" s="2">
        <v>11</v>
      </c>
      <c r="C12" s="38" t="s">
        <v>108</v>
      </c>
      <c r="D12" s="4"/>
      <c r="E12" s="41" t="s">
        <v>205</v>
      </c>
      <c r="F12" s="2">
        <v>20260319</v>
      </c>
      <c r="G12" s="2">
        <v>20260319</v>
      </c>
      <c r="H12" s="2">
        <v>20260319</v>
      </c>
      <c r="I12" s="42"/>
      <c r="M12" s="44" t="s">
        <v>119</v>
      </c>
      <c r="N12" s="40"/>
      <c r="P12" s="2">
        <v>307030</v>
      </c>
      <c r="R12" s="2" t="s">
        <v>206</v>
      </c>
    </row>
    <row r="13" spans="1:18">
      <c r="A13" s="2">
        <v>1</v>
      </c>
      <c r="B13" s="2">
        <v>12</v>
      </c>
      <c r="C13" s="38" t="s">
        <v>108</v>
      </c>
      <c r="D13" s="4"/>
      <c r="E13" s="41" t="s">
        <v>205</v>
      </c>
      <c r="F13" s="2">
        <v>20260319</v>
      </c>
      <c r="G13" s="2">
        <v>20260319</v>
      </c>
      <c r="H13" s="2">
        <v>20260319</v>
      </c>
      <c r="I13" s="42"/>
      <c r="M13" s="44" t="s">
        <v>131</v>
      </c>
      <c r="N13" s="40"/>
      <c r="P13" s="2">
        <v>307030</v>
      </c>
      <c r="R13" s="2" t="s">
        <v>206</v>
      </c>
    </row>
    <row r="14" spans="1:18">
      <c r="A14" s="2">
        <v>1</v>
      </c>
      <c r="B14" s="2">
        <v>13</v>
      </c>
      <c r="C14" s="38" t="s">
        <v>108</v>
      </c>
      <c r="D14" s="4"/>
      <c r="E14" s="41" t="s">
        <v>205</v>
      </c>
      <c r="F14" s="2">
        <v>20260319</v>
      </c>
      <c r="G14" s="2">
        <v>20260319</v>
      </c>
      <c r="H14" s="2">
        <v>20260319</v>
      </c>
      <c r="I14" s="42"/>
      <c r="M14" s="44" t="s">
        <v>116</v>
      </c>
      <c r="N14" s="40"/>
      <c r="P14" s="2">
        <v>307030</v>
      </c>
      <c r="R14" s="2" t="s">
        <v>206</v>
      </c>
    </row>
    <row r="15" spans="1:18">
      <c r="A15" s="2">
        <v>1</v>
      </c>
      <c r="B15" s="2">
        <v>14</v>
      </c>
      <c r="C15" s="38" t="s">
        <v>108</v>
      </c>
      <c r="D15" s="4"/>
      <c r="E15" s="41" t="s">
        <v>205</v>
      </c>
      <c r="F15" s="2">
        <v>20260319</v>
      </c>
      <c r="G15" s="2">
        <v>20260319</v>
      </c>
      <c r="H15" s="2">
        <v>20260319</v>
      </c>
      <c r="I15" s="42"/>
      <c r="M15" s="44" t="s">
        <v>118</v>
      </c>
      <c r="N15" s="40"/>
      <c r="P15" s="2">
        <v>307030</v>
      </c>
      <c r="R15" s="2" t="s">
        <v>206</v>
      </c>
    </row>
    <row r="16" spans="1:18">
      <c r="A16" s="2">
        <v>1</v>
      </c>
      <c r="B16" s="2">
        <v>15</v>
      </c>
      <c r="C16" s="38" t="s">
        <v>109</v>
      </c>
      <c r="D16" s="4"/>
      <c r="E16" s="41" t="s">
        <v>205</v>
      </c>
      <c r="F16" s="2">
        <v>20260319</v>
      </c>
      <c r="G16" s="2">
        <v>20260319</v>
      </c>
      <c r="H16" s="2">
        <v>20260319</v>
      </c>
      <c r="I16" s="39" t="s">
        <v>281</v>
      </c>
      <c r="M16" s="44" t="s">
        <v>132</v>
      </c>
      <c r="N16" s="40"/>
      <c r="P16" s="2">
        <v>307030</v>
      </c>
      <c r="R16" s="2" t="s">
        <v>206</v>
      </c>
    </row>
    <row r="17" spans="1:18">
      <c r="A17" s="2">
        <v>1</v>
      </c>
      <c r="B17" s="2">
        <v>16</v>
      </c>
      <c r="C17" s="38" t="s">
        <v>109</v>
      </c>
      <c r="D17" s="4"/>
      <c r="E17" s="41" t="s">
        <v>205</v>
      </c>
      <c r="F17" s="2">
        <v>20260319</v>
      </c>
      <c r="G17" s="2">
        <v>20260319</v>
      </c>
      <c r="H17" s="2">
        <v>20260319</v>
      </c>
      <c r="I17" s="39" t="s">
        <v>209</v>
      </c>
      <c r="M17" s="44" t="s">
        <v>133</v>
      </c>
      <c r="N17" s="40"/>
      <c r="P17" s="2">
        <v>307030</v>
      </c>
      <c r="R17" s="2" t="s">
        <v>206</v>
      </c>
    </row>
    <row r="18" spans="1:18">
      <c r="A18" s="2">
        <v>1</v>
      </c>
      <c r="B18" s="2">
        <v>17</v>
      </c>
      <c r="C18" s="38" t="s">
        <v>110</v>
      </c>
      <c r="D18" s="4"/>
      <c r="E18" s="41" t="s">
        <v>205</v>
      </c>
      <c r="F18" s="2">
        <v>20260319</v>
      </c>
      <c r="G18" s="2">
        <v>20260319</v>
      </c>
      <c r="H18" s="2">
        <v>20260319</v>
      </c>
      <c r="I18" s="39" t="s">
        <v>218</v>
      </c>
      <c r="M18" s="44" t="s">
        <v>122</v>
      </c>
      <c r="N18" s="40"/>
      <c r="P18" s="2">
        <v>307030</v>
      </c>
      <c r="R18" s="2" t="s">
        <v>206</v>
      </c>
    </row>
    <row r="19" spans="1:18">
      <c r="A19" s="2">
        <v>1</v>
      </c>
      <c r="B19" s="2">
        <v>18</v>
      </c>
      <c r="C19" s="38" t="s">
        <v>110</v>
      </c>
      <c r="D19" s="4"/>
      <c r="E19" s="41" t="s">
        <v>205</v>
      </c>
      <c r="F19" s="2">
        <v>20260319</v>
      </c>
      <c r="G19" s="2">
        <v>20260319</v>
      </c>
      <c r="H19" s="2">
        <v>20260319</v>
      </c>
      <c r="I19" s="39" t="s">
        <v>209</v>
      </c>
      <c r="M19" s="44" t="s">
        <v>121</v>
      </c>
      <c r="N19" s="40"/>
      <c r="P19" s="2">
        <v>307030</v>
      </c>
      <c r="R19" s="2" t="s">
        <v>206</v>
      </c>
    </row>
    <row r="20" spans="1:18">
      <c r="A20" s="2">
        <v>1</v>
      </c>
      <c r="B20" s="2">
        <v>19</v>
      </c>
      <c r="C20" s="38" t="s">
        <v>111</v>
      </c>
      <c r="D20" s="4"/>
      <c r="E20" s="41" t="s">
        <v>205</v>
      </c>
      <c r="F20" s="2">
        <v>20260319</v>
      </c>
      <c r="G20" s="2">
        <v>20260319</v>
      </c>
      <c r="H20" s="2">
        <v>20260319</v>
      </c>
      <c r="I20" s="42"/>
      <c r="M20" s="44" t="s">
        <v>134</v>
      </c>
      <c r="N20" s="40"/>
      <c r="P20" s="2">
        <v>307030</v>
      </c>
      <c r="R20" s="2" t="s">
        <v>206</v>
      </c>
    </row>
    <row r="21" spans="1:18">
      <c r="A21" s="2">
        <v>1</v>
      </c>
      <c r="B21" s="2">
        <v>20</v>
      </c>
      <c r="C21" s="38" t="s">
        <v>111</v>
      </c>
      <c r="D21" s="4"/>
      <c r="E21" s="41" t="s">
        <v>205</v>
      </c>
      <c r="F21" s="2">
        <v>20260319</v>
      </c>
      <c r="G21" s="2">
        <v>20260319</v>
      </c>
      <c r="H21" s="2">
        <v>20260319</v>
      </c>
      <c r="I21" s="42"/>
      <c r="M21" s="44" t="s">
        <v>135</v>
      </c>
      <c r="N21" s="40"/>
      <c r="P21" s="2">
        <v>307030</v>
      </c>
      <c r="R21" s="2" t="s">
        <v>206</v>
      </c>
    </row>
    <row r="22" spans="1:18">
      <c r="A22" s="2">
        <v>1</v>
      </c>
      <c r="B22" s="2">
        <v>21</v>
      </c>
      <c r="C22" s="38" t="s">
        <v>111</v>
      </c>
      <c r="D22" s="4"/>
      <c r="E22" s="41" t="s">
        <v>205</v>
      </c>
      <c r="F22" s="2">
        <v>20260319</v>
      </c>
      <c r="G22" s="2">
        <v>20260319</v>
      </c>
      <c r="H22" s="2">
        <v>20260319</v>
      </c>
      <c r="I22" s="42"/>
      <c r="M22" s="44" t="s">
        <v>136</v>
      </c>
      <c r="N22" s="40"/>
      <c r="P22" s="2">
        <v>307030</v>
      </c>
      <c r="R22" s="2" t="s">
        <v>206</v>
      </c>
    </row>
    <row r="23" spans="1:18">
      <c r="A23" s="2">
        <v>1</v>
      </c>
      <c r="B23" s="2">
        <v>22</v>
      </c>
      <c r="C23" s="38" t="s">
        <v>111</v>
      </c>
      <c r="D23" s="4"/>
      <c r="E23" s="41" t="s">
        <v>205</v>
      </c>
      <c r="F23" s="2">
        <v>20260319</v>
      </c>
      <c r="G23" s="2">
        <v>20260319</v>
      </c>
      <c r="H23" s="2">
        <v>20260319</v>
      </c>
      <c r="I23" s="42"/>
      <c r="M23" s="44" t="s">
        <v>126</v>
      </c>
      <c r="N23" s="40"/>
      <c r="P23" s="2">
        <v>307030</v>
      </c>
      <c r="R23" s="2" t="s">
        <v>206</v>
      </c>
    </row>
    <row r="24" spans="1:18">
      <c r="A24" s="2">
        <v>1</v>
      </c>
      <c r="B24" s="2">
        <v>23</v>
      </c>
      <c r="C24" s="38" t="s">
        <v>111</v>
      </c>
      <c r="D24" s="4"/>
      <c r="E24" s="41" t="s">
        <v>205</v>
      </c>
      <c r="F24" s="2">
        <v>20260319</v>
      </c>
      <c r="G24" s="2">
        <v>20260319</v>
      </c>
      <c r="H24" s="2">
        <v>20260319</v>
      </c>
      <c r="I24" s="42"/>
      <c r="M24" s="44" t="s">
        <v>137</v>
      </c>
      <c r="N24" s="40"/>
      <c r="P24" s="2">
        <v>307030</v>
      </c>
      <c r="R24" s="2" t="s">
        <v>206</v>
      </c>
    </row>
    <row r="25" spans="1:18">
      <c r="A25" s="2">
        <v>1</v>
      </c>
      <c r="B25" s="2">
        <v>24</v>
      </c>
      <c r="C25" s="38" t="s">
        <v>111</v>
      </c>
      <c r="D25" s="4"/>
      <c r="E25" s="41" t="s">
        <v>205</v>
      </c>
      <c r="F25" s="2">
        <v>20260319</v>
      </c>
      <c r="G25" s="2">
        <v>20260319</v>
      </c>
      <c r="H25" s="2">
        <v>20260319</v>
      </c>
      <c r="I25" s="42"/>
      <c r="M25" s="44" t="s">
        <v>138</v>
      </c>
      <c r="N25" s="40"/>
      <c r="P25" s="2">
        <v>307030</v>
      </c>
      <c r="R25" s="2" t="s">
        <v>206</v>
      </c>
    </row>
    <row r="26" spans="1:18">
      <c r="A26" s="2">
        <v>1</v>
      </c>
      <c r="B26" s="2">
        <v>25</v>
      </c>
      <c r="C26" s="38" t="s">
        <v>111</v>
      </c>
      <c r="D26" s="4"/>
      <c r="E26" s="41" t="s">
        <v>205</v>
      </c>
      <c r="F26" s="2">
        <v>20260319</v>
      </c>
      <c r="G26" s="2">
        <v>20260319</v>
      </c>
      <c r="H26" s="2">
        <v>20260319</v>
      </c>
      <c r="I26" s="42"/>
      <c r="M26" s="44" t="s">
        <v>139</v>
      </c>
      <c r="N26" s="40"/>
      <c r="P26" s="2">
        <v>307030</v>
      </c>
      <c r="R26" s="2" t="s">
        <v>206</v>
      </c>
    </row>
    <row r="27" spans="1:18">
      <c r="A27" s="2">
        <v>1</v>
      </c>
      <c r="B27" s="2">
        <v>26</v>
      </c>
      <c r="C27" s="38" t="s">
        <v>112</v>
      </c>
      <c r="D27" s="4"/>
      <c r="E27" s="41" t="s">
        <v>205</v>
      </c>
      <c r="F27" s="2">
        <v>20260319</v>
      </c>
      <c r="G27" s="2">
        <v>20260319</v>
      </c>
      <c r="H27" s="2">
        <v>20260319</v>
      </c>
      <c r="I27" s="39" t="s">
        <v>215</v>
      </c>
      <c r="M27" s="44" t="s">
        <v>117</v>
      </c>
      <c r="N27" s="40"/>
      <c r="P27" s="2">
        <v>307030</v>
      </c>
      <c r="R27" s="2" t="s">
        <v>206</v>
      </c>
    </row>
    <row r="28" spans="1:18">
      <c r="A28" s="2">
        <v>1</v>
      </c>
      <c r="B28" s="2">
        <v>27</v>
      </c>
      <c r="C28" s="38" t="s">
        <v>112</v>
      </c>
      <c r="D28" s="4"/>
      <c r="E28" s="41" t="s">
        <v>205</v>
      </c>
      <c r="F28" s="2">
        <v>20260319</v>
      </c>
      <c r="G28" s="2">
        <v>20260319</v>
      </c>
      <c r="H28" s="2">
        <v>20260319</v>
      </c>
      <c r="I28" s="39" t="s">
        <v>210</v>
      </c>
      <c r="M28" s="44" t="s">
        <v>117</v>
      </c>
      <c r="N28" s="40"/>
      <c r="P28" s="2">
        <v>307030</v>
      </c>
      <c r="R28" s="2" t="s">
        <v>206</v>
      </c>
    </row>
    <row r="29" spans="1:18">
      <c r="A29" s="2">
        <v>1</v>
      </c>
      <c r="B29" s="2">
        <v>28</v>
      </c>
      <c r="C29" s="38" t="s">
        <v>112</v>
      </c>
      <c r="D29" s="4"/>
      <c r="E29" s="41" t="s">
        <v>205</v>
      </c>
      <c r="F29" s="2">
        <v>20260319</v>
      </c>
      <c r="G29" s="2">
        <v>20260319</v>
      </c>
      <c r="H29" s="2">
        <v>20260319</v>
      </c>
      <c r="I29" s="39" t="s">
        <v>217</v>
      </c>
      <c r="M29" s="44" t="s">
        <v>122</v>
      </c>
      <c r="N29" s="40"/>
      <c r="P29" s="2">
        <v>307030</v>
      </c>
      <c r="R29" s="2" t="s">
        <v>206</v>
      </c>
    </row>
    <row r="30" spans="1:18">
      <c r="A30" s="2">
        <v>1</v>
      </c>
      <c r="B30" s="2">
        <v>29</v>
      </c>
      <c r="C30" s="38" t="s">
        <v>112</v>
      </c>
      <c r="D30" s="4"/>
      <c r="E30" s="41" t="s">
        <v>205</v>
      </c>
      <c r="F30" s="2">
        <v>20260319</v>
      </c>
      <c r="G30" s="2">
        <v>20260319</v>
      </c>
      <c r="H30" s="2">
        <v>20260319</v>
      </c>
      <c r="I30" s="39" t="s">
        <v>219</v>
      </c>
      <c r="M30" s="44" t="s">
        <v>115</v>
      </c>
      <c r="N30" s="40"/>
      <c r="P30" s="2">
        <v>307030</v>
      </c>
      <c r="R30" s="2" t="s">
        <v>206</v>
      </c>
    </row>
    <row r="31" spans="1:18">
      <c r="A31" s="2">
        <v>1</v>
      </c>
      <c r="B31" s="2">
        <v>30</v>
      </c>
      <c r="C31" s="38" t="s">
        <v>112</v>
      </c>
      <c r="D31" s="4"/>
      <c r="E31" s="41" t="s">
        <v>205</v>
      </c>
      <c r="F31" s="2">
        <v>20260319</v>
      </c>
      <c r="G31" s="2">
        <v>20260319</v>
      </c>
      <c r="H31" s="2">
        <v>20260319</v>
      </c>
      <c r="I31" s="39" t="s">
        <v>224</v>
      </c>
      <c r="M31" s="44" t="s">
        <v>122</v>
      </c>
      <c r="N31" s="40"/>
      <c r="P31" s="2">
        <v>307030</v>
      </c>
      <c r="R31" s="2" t="s">
        <v>206</v>
      </c>
    </row>
    <row r="32" spans="1:18">
      <c r="A32" s="2">
        <v>1</v>
      </c>
      <c r="B32" s="2">
        <v>31</v>
      </c>
      <c r="C32" s="38" t="s">
        <v>113</v>
      </c>
      <c r="D32" s="4"/>
      <c r="E32" s="41" t="s">
        <v>205</v>
      </c>
      <c r="F32" s="2">
        <v>20260319</v>
      </c>
      <c r="G32" s="2">
        <v>20260319</v>
      </c>
      <c r="H32" s="2">
        <v>20260319</v>
      </c>
      <c r="I32" s="39" t="s">
        <v>281</v>
      </c>
      <c r="M32" s="44" t="s">
        <v>140</v>
      </c>
      <c r="N32" s="40"/>
      <c r="P32" s="2">
        <v>307030</v>
      </c>
      <c r="R32" s="2" t="s">
        <v>206</v>
      </c>
    </row>
    <row r="33" spans="1:18">
      <c r="A33" s="2">
        <v>1</v>
      </c>
      <c r="B33" s="2">
        <v>32</v>
      </c>
      <c r="C33" s="38" t="s">
        <v>113</v>
      </c>
      <c r="D33" s="4"/>
      <c r="E33" s="41" t="s">
        <v>205</v>
      </c>
      <c r="F33" s="2">
        <v>20260319</v>
      </c>
      <c r="G33" s="2">
        <v>20260319</v>
      </c>
      <c r="H33" s="2">
        <v>20260319</v>
      </c>
      <c r="I33" s="39" t="s">
        <v>209</v>
      </c>
      <c r="M33" s="44" t="s">
        <v>141</v>
      </c>
      <c r="N33" s="40"/>
      <c r="P33" s="2">
        <v>307030</v>
      </c>
      <c r="R33" s="2" t="s">
        <v>206</v>
      </c>
    </row>
    <row r="34" spans="1:18">
      <c r="A34" s="2">
        <v>1</v>
      </c>
      <c r="B34" s="2">
        <v>33</v>
      </c>
      <c r="C34" s="38" t="s">
        <v>114</v>
      </c>
      <c r="D34" s="4"/>
      <c r="E34" s="41" t="s">
        <v>205</v>
      </c>
      <c r="F34" s="2">
        <v>20260319</v>
      </c>
      <c r="G34" s="2">
        <v>20260319</v>
      </c>
      <c r="H34" s="2">
        <v>20260319</v>
      </c>
      <c r="I34" s="39" t="s">
        <v>211</v>
      </c>
      <c r="M34" s="44" t="s">
        <v>142</v>
      </c>
      <c r="N34" s="40"/>
      <c r="P34" s="2">
        <v>307030</v>
      </c>
      <c r="R34" s="2" t="s">
        <v>206</v>
      </c>
    </row>
    <row r="35" spans="1:18">
      <c r="A35" s="2">
        <v>1</v>
      </c>
      <c r="B35" s="2">
        <v>34</v>
      </c>
      <c r="C35" s="38" t="s">
        <v>114</v>
      </c>
      <c r="D35" s="4"/>
      <c r="E35" s="41" t="s">
        <v>205</v>
      </c>
      <c r="F35" s="2">
        <v>20260319</v>
      </c>
      <c r="G35" s="2">
        <v>20260319</v>
      </c>
      <c r="H35" s="2">
        <v>20260319</v>
      </c>
      <c r="I35" s="39" t="s">
        <v>212</v>
      </c>
      <c r="M35" s="44" t="s">
        <v>143</v>
      </c>
      <c r="N35" s="40"/>
      <c r="P35" s="2">
        <v>307030</v>
      </c>
      <c r="R35" s="2" t="s">
        <v>206</v>
      </c>
    </row>
    <row r="36" spans="1:18">
      <c r="A36" s="2">
        <v>1</v>
      </c>
      <c r="B36" s="2">
        <v>35</v>
      </c>
      <c r="C36" s="38" t="s">
        <v>114</v>
      </c>
      <c r="D36" s="4"/>
      <c r="E36" s="41" t="s">
        <v>205</v>
      </c>
      <c r="F36" s="2">
        <v>20260319</v>
      </c>
      <c r="G36" s="2">
        <v>20260319</v>
      </c>
      <c r="H36" s="2">
        <v>20260319</v>
      </c>
      <c r="I36" s="39" t="s">
        <v>213</v>
      </c>
      <c r="M36" s="44" t="s">
        <v>144</v>
      </c>
      <c r="N36" s="40"/>
      <c r="P36" s="2">
        <v>307030</v>
      </c>
      <c r="R36" s="2" t="s">
        <v>206</v>
      </c>
    </row>
    <row r="37" spans="1:18">
      <c r="A37" s="2">
        <v>1</v>
      </c>
      <c r="B37" s="2">
        <v>36</v>
      </c>
      <c r="C37" s="38" t="s">
        <v>114</v>
      </c>
      <c r="D37" s="4"/>
      <c r="E37" s="41" t="s">
        <v>205</v>
      </c>
      <c r="F37" s="2">
        <v>20260319</v>
      </c>
      <c r="G37" s="2">
        <v>20260319</v>
      </c>
      <c r="H37" s="2">
        <v>20260319</v>
      </c>
      <c r="I37" s="39" t="s">
        <v>214</v>
      </c>
      <c r="M37" s="44" t="s">
        <v>145</v>
      </c>
      <c r="N37" s="40"/>
      <c r="P37" s="2">
        <v>307030</v>
      </c>
      <c r="R37" s="2" t="s">
        <v>206</v>
      </c>
    </row>
    <row r="38" spans="1:18">
      <c r="A38" s="2">
        <v>1</v>
      </c>
      <c r="B38" s="2">
        <v>37</v>
      </c>
      <c r="C38" s="38" t="s">
        <v>114</v>
      </c>
      <c r="D38" s="4"/>
      <c r="E38" s="41" t="s">
        <v>205</v>
      </c>
      <c r="F38" s="2">
        <v>20260319</v>
      </c>
      <c r="G38" s="2">
        <v>20260319</v>
      </c>
      <c r="H38" s="2">
        <v>20260319</v>
      </c>
      <c r="I38" s="39" t="s">
        <v>216</v>
      </c>
      <c r="M38" s="44" t="s">
        <v>127</v>
      </c>
      <c r="N38" s="40"/>
      <c r="P38" s="2">
        <v>307030</v>
      </c>
      <c r="R38" s="2" t="s">
        <v>206</v>
      </c>
    </row>
    <row r="39" spans="1:18">
      <c r="A39" s="2">
        <v>1</v>
      </c>
      <c r="B39" s="2">
        <v>778</v>
      </c>
      <c r="C39" s="37">
        <v>95271101</v>
      </c>
      <c r="D39" s="4"/>
      <c r="E39" s="41" t="s">
        <v>205</v>
      </c>
      <c r="F39" s="2">
        <v>20260319</v>
      </c>
      <c r="G39" s="2">
        <v>20260319</v>
      </c>
      <c r="H39" s="2">
        <v>20260319</v>
      </c>
      <c r="I39" s="39" t="s">
        <v>246</v>
      </c>
      <c r="M39" s="45" t="s">
        <v>152</v>
      </c>
      <c r="N39" s="40"/>
      <c r="P39" s="2">
        <v>307030</v>
      </c>
      <c r="R39" s="2" t="s">
        <v>206</v>
      </c>
    </row>
    <row r="40" spans="1:18">
      <c r="A40" s="2">
        <v>1</v>
      </c>
      <c r="B40" s="2">
        <v>779</v>
      </c>
      <c r="C40" s="37">
        <v>95271101</v>
      </c>
      <c r="D40" s="4"/>
      <c r="E40" s="41" t="s">
        <v>205</v>
      </c>
      <c r="F40" s="2">
        <v>20260319</v>
      </c>
      <c r="G40" s="2">
        <v>20260319</v>
      </c>
      <c r="H40" s="2">
        <v>20260319</v>
      </c>
      <c r="I40" s="39" t="s">
        <v>221</v>
      </c>
      <c r="M40" s="45" t="s">
        <v>153</v>
      </c>
      <c r="N40" s="40"/>
      <c r="P40" s="2">
        <v>307030</v>
      </c>
      <c r="R40" s="2" t="s">
        <v>206</v>
      </c>
    </row>
    <row r="41" spans="1:18">
      <c r="A41" s="2">
        <v>1</v>
      </c>
      <c r="B41" s="2">
        <v>780</v>
      </c>
      <c r="C41" s="37">
        <v>95271101</v>
      </c>
      <c r="D41" s="4"/>
      <c r="E41" s="41" t="s">
        <v>205</v>
      </c>
      <c r="F41" s="2">
        <v>20260319</v>
      </c>
      <c r="G41" s="2">
        <v>20260319</v>
      </c>
      <c r="H41" s="2">
        <v>20260319</v>
      </c>
      <c r="I41" s="39" t="s">
        <v>222</v>
      </c>
      <c r="M41" s="45" t="s">
        <v>154</v>
      </c>
      <c r="N41" s="40"/>
      <c r="P41" s="2">
        <v>307030</v>
      </c>
      <c r="R41" s="2" t="s">
        <v>206</v>
      </c>
    </row>
    <row r="42" spans="1:18">
      <c r="A42" s="2">
        <v>1</v>
      </c>
      <c r="B42" s="2">
        <v>781</v>
      </c>
      <c r="C42" s="37">
        <v>95271101</v>
      </c>
      <c r="D42" s="4"/>
      <c r="E42" s="41" t="s">
        <v>205</v>
      </c>
      <c r="F42" s="2">
        <v>20260319</v>
      </c>
      <c r="G42" s="2">
        <v>20260319</v>
      </c>
      <c r="H42" s="2">
        <v>20260319</v>
      </c>
      <c r="I42" s="39" t="s">
        <v>238</v>
      </c>
      <c r="M42" s="45" t="s">
        <v>155</v>
      </c>
      <c r="N42" s="40"/>
      <c r="P42" s="2">
        <v>307030</v>
      </c>
      <c r="R42" s="2" t="s">
        <v>206</v>
      </c>
    </row>
    <row r="43" spans="1:18">
      <c r="A43" s="2">
        <v>1</v>
      </c>
      <c r="B43" s="2">
        <v>782</v>
      </c>
      <c r="C43" s="37">
        <v>95271101</v>
      </c>
      <c r="D43" s="4"/>
      <c r="E43" s="41" t="s">
        <v>205</v>
      </c>
      <c r="F43" s="2">
        <v>20260319</v>
      </c>
      <c r="G43" s="2">
        <v>20260319</v>
      </c>
      <c r="H43" s="2">
        <v>20260319</v>
      </c>
      <c r="I43" s="39" t="s">
        <v>245</v>
      </c>
      <c r="M43" s="45" t="s">
        <v>156</v>
      </c>
      <c r="N43" s="40"/>
      <c r="P43" s="2">
        <v>307030</v>
      </c>
      <c r="R43" s="2" t="s">
        <v>206</v>
      </c>
    </row>
    <row r="44" spans="1:18">
      <c r="A44" s="2">
        <v>1</v>
      </c>
      <c r="B44" s="2">
        <v>783</v>
      </c>
      <c r="C44" s="37">
        <v>95271101</v>
      </c>
      <c r="D44" s="4"/>
      <c r="E44" s="41" t="s">
        <v>205</v>
      </c>
      <c r="F44" s="2">
        <v>20260319</v>
      </c>
      <c r="G44" s="2">
        <v>20260319</v>
      </c>
      <c r="H44" s="2">
        <v>20260319</v>
      </c>
      <c r="I44" s="39" t="s">
        <v>263</v>
      </c>
      <c r="M44" s="45" t="s">
        <v>157</v>
      </c>
      <c r="N44" s="40"/>
      <c r="P44" s="2">
        <v>307030</v>
      </c>
      <c r="R44" s="2" t="s">
        <v>206</v>
      </c>
    </row>
    <row r="45" spans="1:18">
      <c r="A45" s="2">
        <v>1</v>
      </c>
      <c r="B45" s="2">
        <v>784</v>
      </c>
      <c r="C45" s="37">
        <v>95271101</v>
      </c>
      <c r="D45" s="4"/>
      <c r="E45" s="41" t="s">
        <v>205</v>
      </c>
      <c r="F45" s="2">
        <v>20260319</v>
      </c>
      <c r="G45" s="2">
        <v>20260319</v>
      </c>
      <c r="H45" s="2">
        <v>20260319</v>
      </c>
      <c r="I45" s="39" t="s">
        <v>264</v>
      </c>
      <c r="M45" s="45" t="s">
        <v>158</v>
      </c>
      <c r="N45" s="40"/>
      <c r="P45" s="2">
        <v>307030</v>
      </c>
      <c r="R45" s="2" t="s">
        <v>206</v>
      </c>
    </row>
    <row r="46" spans="1:18">
      <c r="A46" s="2">
        <v>1</v>
      </c>
      <c r="B46" s="2">
        <v>785</v>
      </c>
      <c r="C46" s="37">
        <v>95271101</v>
      </c>
      <c r="D46" s="4"/>
      <c r="E46" s="41" t="s">
        <v>205</v>
      </c>
      <c r="F46" s="2">
        <v>20260319</v>
      </c>
      <c r="G46" s="2">
        <v>20260319</v>
      </c>
      <c r="H46" s="2">
        <v>20260319</v>
      </c>
      <c r="I46" s="39" t="s">
        <v>270</v>
      </c>
      <c r="M46" s="45" t="s">
        <v>159</v>
      </c>
      <c r="N46" s="40"/>
      <c r="P46" s="2">
        <v>307030</v>
      </c>
      <c r="R46" s="2" t="s">
        <v>206</v>
      </c>
    </row>
    <row r="47" spans="1:18">
      <c r="A47" s="2">
        <v>1</v>
      </c>
      <c r="B47" s="2">
        <v>786</v>
      </c>
      <c r="C47" s="37">
        <v>95271101</v>
      </c>
      <c r="D47" s="4"/>
      <c r="E47" s="41" t="s">
        <v>205</v>
      </c>
      <c r="F47" s="2">
        <v>20260319</v>
      </c>
      <c r="G47" s="2">
        <v>20260319</v>
      </c>
      <c r="H47" s="2">
        <v>20260319</v>
      </c>
      <c r="I47" s="39" t="s">
        <v>272</v>
      </c>
      <c r="M47" s="45" t="s">
        <v>160</v>
      </c>
      <c r="N47" s="40"/>
      <c r="P47" s="2">
        <v>307030</v>
      </c>
      <c r="R47" s="2" t="s">
        <v>206</v>
      </c>
    </row>
    <row r="48" spans="1:18">
      <c r="A48" s="2">
        <v>1</v>
      </c>
      <c r="B48" s="2">
        <v>787</v>
      </c>
      <c r="C48" s="37">
        <v>95271101</v>
      </c>
      <c r="D48" s="4"/>
      <c r="E48" s="41" t="s">
        <v>205</v>
      </c>
      <c r="F48" s="2">
        <v>20260319</v>
      </c>
      <c r="G48" s="2">
        <v>20260319</v>
      </c>
      <c r="H48" s="2">
        <v>20260319</v>
      </c>
      <c r="I48" s="39" t="s">
        <v>275</v>
      </c>
      <c r="M48" s="45" t="s">
        <v>161</v>
      </c>
      <c r="N48" s="40"/>
      <c r="P48" s="2">
        <v>307030</v>
      </c>
      <c r="R48" s="2" t="s">
        <v>206</v>
      </c>
    </row>
    <row r="49" spans="1:18">
      <c r="A49" s="2">
        <v>1</v>
      </c>
      <c r="B49" s="2">
        <v>788</v>
      </c>
      <c r="C49" s="37">
        <v>95271101</v>
      </c>
      <c r="D49" s="4"/>
      <c r="E49" s="41" t="s">
        <v>205</v>
      </c>
      <c r="F49" s="2">
        <v>20260319</v>
      </c>
      <c r="G49" s="2">
        <v>20260319</v>
      </c>
      <c r="H49" s="2">
        <v>20260319</v>
      </c>
      <c r="I49" s="39" t="s">
        <v>225</v>
      </c>
      <c r="M49" s="45" t="s">
        <v>125</v>
      </c>
      <c r="N49" s="40"/>
      <c r="P49" s="2">
        <v>307030</v>
      </c>
      <c r="R49" s="2" t="s">
        <v>206</v>
      </c>
    </row>
    <row r="50" spans="1:18">
      <c r="A50" s="2">
        <v>1</v>
      </c>
      <c r="B50" s="2">
        <v>789</v>
      </c>
      <c r="C50" s="37">
        <v>95271101</v>
      </c>
      <c r="D50" s="4"/>
      <c r="E50" s="41" t="s">
        <v>205</v>
      </c>
      <c r="F50" s="2">
        <v>20260319</v>
      </c>
      <c r="G50" s="2">
        <v>20260319</v>
      </c>
      <c r="H50" s="2">
        <v>20260319</v>
      </c>
      <c r="I50" s="39" t="s">
        <v>252</v>
      </c>
      <c r="M50" s="45" t="s">
        <v>162</v>
      </c>
      <c r="N50" s="40"/>
      <c r="P50" s="2">
        <v>307030</v>
      </c>
      <c r="R50" s="2" t="s">
        <v>206</v>
      </c>
    </row>
    <row r="51" spans="1:18">
      <c r="A51" s="2">
        <v>1</v>
      </c>
      <c r="B51" s="2">
        <v>790</v>
      </c>
      <c r="C51" s="37">
        <v>95271101</v>
      </c>
      <c r="D51" s="4"/>
      <c r="E51" s="41" t="s">
        <v>205</v>
      </c>
      <c r="F51" s="2">
        <v>20260319</v>
      </c>
      <c r="G51" s="2">
        <v>20260319</v>
      </c>
      <c r="H51" s="2">
        <v>20260319</v>
      </c>
      <c r="I51" s="39" t="s">
        <v>269</v>
      </c>
      <c r="M51" s="45" t="s">
        <v>124</v>
      </c>
      <c r="N51" s="40"/>
      <c r="P51" s="2">
        <v>307030</v>
      </c>
      <c r="R51" s="2" t="s">
        <v>206</v>
      </c>
    </row>
    <row r="52" spans="1:18">
      <c r="A52" s="2">
        <v>1</v>
      </c>
      <c r="B52" s="2">
        <v>791</v>
      </c>
      <c r="C52" s="37">
        <v>95271101</v>
      </c>
      <c r="D52" s="4"/>
      <c r="E52" s="41" t="s">
        <v>205</v>
      </c>
      <c r="F52" s="2">
        <v>20260319</v>
      </c>
      <c r="G52" s="2">
        <v>20260319</v>
      </c>
      <c r="H52" s="2">
        <v>20260319</v>
      </c>
      <c r="I52" s="39" t="s">
        <v>237</v>
      </c>
      <c r="M52" s="45" t="s">
        <v>163</v>
      </c>
      <c r="N52" s="40"/>
      <c r="P52" s="2">
        <v>307030</v>
      </c>
      <c r="R52" s="2" t="s">
        <v>206</v>
      </c>
    </row>
    <row r="53" spans="1:18">
      <c r="A53" s="2">
        <v>1</v>
      </c>
      <c r="B53" s="2">
        <v>792</v>
      </c>
      <c r="C53" s="37">
        <v>95271101</v>
      </c>
      <c r="D53" s="4"/>
      <c r="E53" s="41" t="s">
        <v>205</v>
      </c>
      <c r="F53" s="2">
        <v>20260319</v>
      </c>
      <c r="G53" s="2">
        <v>20260319</v>
      </c>
      <c r="H53" s="2">
        <v>20260319</v>
      </c>
      <c r="I53" s="39" t="s">
        <v>259</v>
      </c>
      <c r="M53" s="45" t="s">
        <v>164</v>
      </c>
      <c r="N53" s="40"/>
      <c r="P53" s="2">
        <v>307030</v>
      </c>
      <c r="R53" s="2" t="s">
        <v>206</v>
      </c>
    </row>
    <row r="54" spans="1:18">
      <c r="A54" s="2">
        <v>1</v>
      </c>
      <c r="B54" s="2">
        <v>793</v>
      </c>
      <c r="C54" s="37">
        <v>95271101</v>
      </c>
      <c r="D54" s="4"/>
      <c r="E54" s="41" t="s">
        <v>205</v>
      </c>
      <c r="F54" s="2">
        <v>20260319</v>
      </c>
      <c r="G54" s="2">
        <v>20260319</v>
      </c>
      <c r="H54" s="2">
        <v>20260319</v>
      </c>
      <c r="I54" s="39" t="s">
        <v>262</v>
      </c>
      <c r="M54" s="45" t="s">
        <v>151</v>
      </c>
      <c r="N54" s="40"/>
      <c r="P54" s="2">
        <v>307030</v>
      </c>
      <c r="R54" s="2" t="s">
        <v>206</v>
      </c>
    </row>
    <row r="55" spans="1:18">
      <c r="A55" s="2">
        <v>1</v>
      </c>
      <c r="B55" s="2">
        <v>794</v>
      </c>
      <c r="C55" s="37">
        <v>95271101</v>
      </c>
      <c r="D55" s="4"/>
      <c r="E55" s="41" t="s">
        <v>205</v>
      </c>
      <c r="F55" s="2">
        <v>20260319</v>
      </c>
      <c r="G55" s="2">
        <v>20260319</v>
      </c>
      <c r="H55" s="2">
        <v>20260319</v>
      </c>
      <c r="I55" s="39" t="s">
        <v>273</v>
      </c>
      <c r="M55" s="45" t="s">
        <v>150</v>
      </c>
      <c r="N55" s="40"/>
      <c r="P55" s="2">
        <v>307030</v>
      </c>
      <c r="R55" s="2" t="s">
        <v>206</v>
      </c>
    </row>
    <row r="56" spans="1:18">
      <c r="A56" s="2">
        <v>1</v>
      </c>
      <c r="B56" s="2">
        <v>795</v>
      </c>
      <c r="C56" s="37">
        <v>95271101</v>
      </c>
      <c r="D56" s="4"/>
      <c r="E56" s="41" t="s">
        <v>205</v>
      </c>
      <c r="F56" s="2">
        <v>20260319</v>
      </c>
      <c r="G56" s="2">
        <v>20260319</v>
      </c>
      <c r="H56" s="2">
        <v>20260319</v>
      </c>
      <c r="I56" s="39" t="s">
        <v>274</v>
      </c>
      <c r="M56" s="45" t="s">
        <v>165</v>
      </c>
      <c r="N56" s="40"/>
      <c r="P56" s="2">
        <v>307030</v>
      </c>
      <c r="R56" s="2" t="s">
        <v>206</v>
      </c>
    </row>
    <row r="57" spans="1:18">
      <c r="A57" s="2">
        <v>1</v>
      </c>
      <c r="B57" s="2">
        <v>796</v>
      </c>
      <c r="C57" s="37">
        <v>95271101</v>
      </c>
      <c r="D57" s="4"/>
      <c r="E57" s="41" t="s">
        <v>205</v>
      </c>
      <c r="F57" s="2">
        <v>20260319</v>
      </c>
      <c r="G57" s="2">
        <v>20260319</v>
      </c>
      <c r="H57" s="2">
        <v>20260319</v>
      </c>
      <c r="I57" s="39" t="s">
        <v>229</v>
      </c>
      <c r="M57" s="45" t="s">
        <v>166</v>
      </c>
      <c r="N57" s="40"/>
      <c r="P57" s="2">
        <v>307030</v>
      </c>
      <c r="R57" s="2" t="s">
        <v>206</v>
      </c>
    </row>
    <row r="58" spans="1:18">
      <c r="A58" s="2">
        <v>1</v>
      </c>
      <c r="B58" s="2">
        <v>797</v>
      </c>
      <c r="C58" s="37">
        <v>95271101</v>
      </c>
      <c r="D58" s="4"/>
      <c r="E58" s="41" t="s">
        <v>205</v>
      </c>
      <c r="F58" s="2">
        <v>20260319</v>
      </c>
      <c r="G58" s="2">
        <v>20260319</v>
      </c>
      <c r="H58" s="2">
        <v>20260319</v>
      </c>
      <c r="I58" s="39" t="s">
        <v>207</v>
      </c>
      <c r="M58" s="45" t="s">
        <v>167</v>
      </c>
      <c r="N58" s="40"/>
      <c r="P58" s="2">
        <v>307030</v>
      </c>
      <c r="R58" s="2" t="s">
        <v>206</v>
      </c>
    </row>
    <row r="59" spans="1:18">
      <c r="A59" s="2">
        <v>1</v>
      </c>
      <c r="B59" s="2">
        <v>798</v>
      </c>
      <c r="C59" s="37">
        <v>95271101</v>
      </c>
      <c r="D59" s="4"/>
      <c r="E59" s="41" t="s">
        <v>205</v>
      </c>
      <c r="F59" s="2">
        <v>20260319</v>
      </c>
      <c r="G59" s="2">
        <v>20260319</v>
      </c>
      <c r="H59" s="2">
        <v>20260319</v>
      </c>
      <c r="I59" s="39" t="s">
        <v>235</v>
      </c>
      <c r="M59" s="45" t="s">
        <v>168</v>
      </c>
      <c r="N59" s="40"/>
      <c r="P59" s="2">
        <v>307030</v>
      </c>
      <c r="R59" s="2" t="s">
        <v>206</v>
      </c>
    </row>
    <row r="60" spans="1:18">
      <c r="A60" s="2">
        <v>1</v>
      </c>
      <c r="B60" s="2">
        <v>799</v>
      </c>
      <c r="C60" s="37">
        <v>95271101</v>
      </c>
      <c r="D60" s="4"/>
      <c r="E60" s="41" t="s">
        <v>205</v>
      </c>
      <c r="F60" s="2">
        <v>20260319</v>
      </c>
      <c r="G60" s="2">
        <v>20260319</v>
      </c>
      <c r="H60" s="2">
        <v>20260319</v>
      </c>
      <c r="I60" s="39" t="s">
        <v>258</v>
      </c>
      <c r="M60" s="45" t="s">
        <v>169</v>
      </c>
      <c r="N60" s="40"/>
      <c r="P60" s="2">
        <v>307030</v>
      </c>
      <c r="R60" s="2" t="s">
        <v>206</v>
      </c>
    </row>
    <row r="61" spans="1:18">
      <c r="A61" s="2">
        <v>1</v>
      </c>
      <c r="B61" s="2">
        <v>800</v>
      </c>
      <c r="C61" s="37">
        <v>95271101</v>
      </c>
      <c r="D61" s="4"/>
      <c r="E61" s="41" t="s">
        <v>205</v>
      </c>
      <c r="F61" s="2">
        <v>20260319</v>
      </c>
      <c r="G61" s="2">
        <v>20260319</v>
      </c>
      <c r="H61" s="2">
        <v>20260319</v>
      </c>
      <c r="I61" s="39" t="s">
        <v>260</v>
      </c>
      <c r="M61" s="45" t="s">
        <v>170</v>
      </c>
      <c r="N61" s="40"/>
      <c r="P61" s="2">
        <v>307030</v>
      </c>
      <c r="R61" s="2" t="s">
        <v>206</v>
      </c>
    </row>
    <row r="62" spans="1:18">
      <c r="A62" s="2">
        <v>1</v>
      </c>
      <c r="B62" s="2">
        <v>801</v>
      </c>
      <c r="C62" s="37">
        <v>95271101</v>
      </c>
      <c r="D62" s="4"/>
      <c r="E62" s="41" t="s">
        <v>205</v>
      </c>
      <c r="F62" s="2">
        <v>20260319</v>
      </c>
      <c r="G62" s="2">
        <v>20260319</v>
      </c>
      <c r="H62" s="2">
        <v>20260319</v>
      </c>
      <c r="I62" s="39" t="s">
        <v>228</v>
      </c>
      <c r="M62" s="45" t="s">
        <v>171</v>
      </c>
      <c r="N62" s="40"/>
      <c r="P62" s="2">
        <v>307030</v>
      </c>
      <c r="R62" s="2" t="s">
        <v>206</v>
      </c>
    </row>
    <row r="63" spans="1:18">
      <c r="A63" s="2">
        <v>1</v>
      </c>
      <c r="B63" s="2">
        <v>802</v>
      </c>
      <c r="C63" s="37">
        <v>95271101</v>
      </c>
      <c r="D63" s="4"/>
      <c r="E63" s="41" t="s">
        <v>205</v>
      </c>
      <c r="F63" s="2">
        <v>20260319</v>
      </c>
      <c r="G63" s="2">
        <v>20260319</v>
      </c>
      <c r="H63" s="2">
        <v>20260319</v>
      </c>
      <c r="I63" s="39" t="s">
        <v>230</v>
      </c>
      <c r="M63" s="45" t="s">
        <v>172</v>
      </c>
      <c r="N63" s="40"/>
      <c r="P63" s="2">
        <v>307030</v>
      </c>
      <c r="R63" s="2" t="s">
        <v>206</v>
      </c>
    </row>
    <row r="64" spans="1:18">
      <c r="A64" s="2">
        <v>1</v>
      </c>
      <c r="B64" s="2">
        <v>803</v>
      </c>
      <c r="C64" s="37">
        <v>95271101</v>
      </c>
      <c r="D64" s="4"/>
      <c r="E64" s="41" t="s">
        <v>205</v>
      </c>
      <c r="F64" s="2">
        <v>20260319</v>
      </c>
      <c r="G64" s="2">
        <v>20260319</v>
      </c>
      <c r="H64" s="2">
        <v>20260319</v>
      </c>
      <c r="I64" s="39" t="s">
        <v>208</v>
      </c>
      <c r="M64" s="45" t="s">
        <v>173</v>
      </c>
      <c r="N64" s="40"/>
      <c r="P64" s="2">
        <v>307030</v>
      </c>
      <c r="R64" s="2" t="s">
        <v>206</v>
      </c>
    </row>
    <row r="65" spans="1:18">
      <c r="A65" s="2">
        <v>1</v>
      </c>
      <c r="B65" s="2">
        <v>804</v>
      </c>
      <c r="C65" s="37">
        <v>95271101</v>
      </c>
      <c r="D65" s="4"/>
      <c r="E65" s="41" t="s">
        <v>205</v>
      </c>
      <c r="F65" s="2">
        <v>20260319</v>
      </c>
      <c r="G65" s="2">
        <v>20260319</v>
      </c>
      <c r="H65" s="2">
        <v>20260319</v>
      </c>
      <c r="I65" s="39" t="s">
        <v>279</v>
      </c>
      <c r="M65" s="45" t="s">
        <v>174</v>
      </c>
      <c r="N65" s="40"/>
      <c r="P65" s="2">
        <v>307030</v>
      </c>
      <c r="R65" s="2" t="s">
        <v>206</v>
      </c>
    </row>
    <row r="66" spans="1:18">
      <c r="A66" s="2">
        <v>1</v>
      </c>
      <c r="B66" s="2">
        <v>805</v>
      </c>
      <c r="C66" s="37">
        <v>95271101</v>
      </c>
      <c r="D66" s="4"/>
      <c r="E66" s="41" t="s">
        <v>205</v>
      </c>
      <c r="F66" s="2">
        <v>20260319</v>
      </c>
      <c r="G66" s="2">
        <v>20260319</v>
      </c>
      <c r="H66" s="2">
        <v>20260319</v>
      </c>
      <c r="I66" s="39" t="s">
        <v>285</v>
      </c>
      <c r="M66" s="45" t="s">
        <v>147</v>
      </c>
      <c r="N66" s="40"/>
      <c r="P66" s="2">
        <v>307030</v>
      </c>
      <c r="R66" s="2" t="s">
        <v>206</v>
      </c>
    </row>
    <row r="67" spans="1:18">
      <c r="A67" s="2">
        <v>1</v>
      </c>
      <c r="B67" s="2">
        <v>806</v>
      </c>
      <c r="C67" s="37">
        <v>95271101</v>
      </c>
      <c r="D67" s="4"/>
      <c r="E67" s="41" t="s">
        <v>205</v>
      </c>
      <c r="F67" s="2">
        <v>20260319</v>
      </c>
      <c r="G67" s="2">
        <v>20260319</v>
      </c>
      <c r="H67" s="2">
        <v>20260319</v>
      </c>
      <c r="I67" s="39" t="s">
        <v>286</v>
      </c>
      <c r="M67" s="45" t="s">
        <v>175</v>
      </c>
      <c r="N67" s="40"/>
      <c r="P67" s="2">
        <v>307030</v>
      </c>
      <c r="R67" s="2" t="s">
        <v>206</v>
      </c>
    </row>
    <row r="68" spans="1:18">
      <c r="A68" s="2">
        <v>1</v>
      </c>
      <c r="B68" s="2">
        <v>807</v>
      </c>
      <c r="C68" s="37">
        <v>95271101</v>
      </c>
      <c r="D68" s="4"/>
      <c r="E68" s="41" t="s">
        <v>205</v>
      </c>
      <c r="F68" s="2">
        <v>20260319</v>
      </c>
      <c r="G68" s="2">
        <v>20260319</v>
      </c>
      <c r="H68" s="2">
        <v>20260319</v>
      </c>
      <c r="I68" s="39" t="s">
        <v>287</v>
      </c>
      <c r="M68" s="45" t="s">
        <v>124</v>
      </c>
      <c r="N68" s="40"/>
      <c r="P68" s="2">
        <v>307030</v>
      </c>
      <c r="R68" s="2" t="s">
        <v>206</v>
      </c>
    </row>
    <row r="69" spans="1:18">
      <c r="A69" s="2">
        <v>1</v>
      </c>
      <c r="B69" s="2">
        <v>808</v>
      </c>
      <c r="C69" s="37">
        <v>95271101</v>
      </c>
      <c r="D69" s="4"/>
      <c r="E69" s="41" t="s">
        <v>205</v>
      </c>
      <c r="F69" s="2">
        <v>20260319</v>
      </c>
      <c r="G69" s="2">
        <v>20260319</v>
      </c>
      <c r="H69" s="2">
        <v>20260319</v>
      </c>
      <c r="I69" s="39" t="s">
        <v>231</v>
      </c>
      <c r="M69" s="45" t="s">
        <v>176</v>
      </c>
      <c r="N69" s="40"/>
      <c r="P69" s="2">
        <v>307030</v>
      </c>
      <c r="R69" s="2" t="s">
        <v>206</v>
      </c>
    </row>
    <row r="70" spans="1:18">
      <c r="A70" s="2">
        <v>1</v>
      </c>
      <c r="B70" s="2">
        <v>809</v>
      </c>
      <c r="C70" s="37">
        <v>95271101</v>
      </c>
      <c r="D70" s="4"/>
      <c r="E70" s="41" t="s">
        <v>205</v>
      </c>
      <c r="F70" s="2">
        <v>20260319</v>
      </c>
      <c r="G70" s="2">
        <v>20260319</v>
      </c>
      <c r="H70" s="2">
        <v>20260319</v>
      </c>
      <c r="I70" s="39" t="s">
        <v>236</v>
      </c>
      <c r="M70" s="45" t="s">
        <v>177</v>
      </c>
      <c r="N70" s="40"/>
      <c r="P70" s="2">
        <v>307030</v>
      </c>
      <c r="R70" s="2" t="s">
        <v>206</v>
      </c>
    </row>
    <row r="71" spans="1:18">
      <c r="A71" s="2">
        <v>1</v>
      </c>
      <c r="B71" s="2">
        <v>810</v>
      </c>
      <c r="C71" s="37">
        <v>95271101</v>
      </c>
      <c r="D71" s="4"/>
      <c r="E71" s="41" t="s">
        <v>205</v>
      </c>
      <c r="F71" s="2">
        <v>20260319</v>
      </c>
      <c r="G71" s="2">
        <v>20260319</v>
      </c>
      <c r="H71" s="2">
        <v>20260319</v>
      </c>
      <c r="I71" s="39" t="s">
        <v>282</v>
      </c>
      <c r="M71" s="45" t="s">
        <v>178</v>
      </c>
      <c r="N71" s="40"/>
      <c r="P71" s="2">
        <v>307030</v>
      </c>
      <c r="R71" s="2" t="s">
        <v>206</v>
      </c>
    </row>
    <row r="72" spans="1:18">
      <c r="A72" s="2">
        <v>1</v>
      </c>
      <c r="B72" s="2">
        <v>811</v>
      </c>
      <c r="C72" s="37">
        <v>95271101</v>
      </c>
      <c r="D72" s="4"/>
      <c r="E72" s="41" t="s">
        <v>205</v>
      </c>
      <c r="F72" s="2">
        <v>20260319</v>
      </c>
      <c r="G72" s="2">
        <v>20260319</v>
      </c>
      <c r="H72" s="2">
        <v>20260319</v>
      </c>
      <c r="I72" s="39" t="s">
        <v>266</v>
      </c>
      <c r="M72" s="45" t="s">
        <v>179</v>
      </c>
      <c r="N72" s="40"/>
      <c r="P72" s="2">
        <v>307030</v>
      </c>
      <c r="R72" s="2" t="s">
        <v>206</v>
      </c>
    </row>
    <row r="73" spans="1:18">
      <c r="A73" s="2">
        <v>1</v>
      </c>
      <c r="B73" s="2">
        <v>812</v>
      </c>
      <c r="C73" s="37">
        <v>95271101</v>
      </c>
      <c r="D73" s="4"/>
      <c r="E73" s="41" t="s">
        <v>205</v>
      </c>
      <c r="F73" s="2">
        <v>20260319</v>
      </c>
      <c r="G73" s="2">
        <v>20260319</v>
      </c>
      <c r="H73" s="2">
        <v>20260319</v>
      </c>
      <c r="I73" s="39" t="s">
        <v>267</v>
      </c>
      <c r="M73" s="45" t="s">
        <v>180</v>
      </c>
      <c r="N73" s="40"/>
      <c r="P73" s="2">
        <v>307030</v>
      </c>
      <c r="R73" s="2" t="s">
        <v>206</v>
      </c>
    </row>
    <row r="74" spans="1:18">
      <c r="A74" s="2">
        <v>1</v>
      </c>
      <c r="B74" s="2">
        <v>813</v>
      </c>
      <c r="C74" s="37">
        <v>95271101</v>
      </c>
      <c r="D74" s="4"/>
      <c r="E74" s="41" t="s">
        <v>205</v>
      </c>
      <c r="F74" s="2">
        <v>20260319</v>
      </c>
      <c r="G74" s="2">
        <v>20260319</v>
      </c>
      <c r="H74" s="2">
        <v>20260319</v>
      </c>
      <c r="I74" s="39" t="s">
        <v>226</v>
      </c>
      <c r="M74" s="45" t="s">
        <v>181</v>
      </c>
      <c r="N74" s="40"/>
      <c r="P74" s="2">
        <v>307030</v>
      </c>
      <c r="R74" s="2" t="s">
        <v>206</v>
      </c>
    </row>
    <row r="75" spans="1:18">
      <c r="A75" s="2">
        <v>1</v>
      </c>
      <c r="B75" s="2">
        <v>814</v>
      </c>
      <c r="C75" s="37">
        <v>95271101</v>
      </c>
      <c r="D75" s="4"/>
      <c r="E75" s="41" t="s">
        <v>205</v>
      </c>
      <c r="F75" s="2">
        <v>20260319</v>
      </c>
      <c r="G75" s="2">
        <v>20260319</v>
      </c>
      <c r="H75" s="2">
        <v>20260319</v>
      </c>
      <c r="I75" s="39" t="s">
        <v>233</v>
      </c>
      <c r="M75" s="45" t="s">
        <v>182</v>
      </c>
      <c r="N75" s="40"/>
      <c r="P75" s="2">
        <v>307030</v>
      </c>
      <c r="R75" s="2" t="s">
        <v>206</v>
      </c>
    </row>
    <row r="76" spans="1:18">
      <c r="A76" s="2">
        <v>1</v>
      </c>
      <c r="B76" s="2">
        <v>815</v>
      </c>
      <c r="C76" s="37">
        <v>95271101</v>
      </c>
      <c r="D76" s="4"/>
      <c r="E76" s="41" t="s">
        <v>205</v>
      </c>
      <c r="F76" s="2">
        <v>20260319</v>
      </c>
      <c r="G76" s="2">
        <v>20260319</v>
      </c>
      <c r="H76" s="2">
        <v>20260319</v>
      </c>
      <c r="I76" s="39" t="s">
        <v>248</v>
      </c>
      <c r="M76" s="45" t="s">
        <v>183</v>
      </c>
      <c r="N76" s="40"/>
      <c r="P76" s="2">
        <v>307030</v>
      </c>
      <c r="R76" s="2" t="s">
        <v>206</v>
      </c>
    </row>
    <row r="77" spans="1:18">
      <c r="A77" s="2">
        <v>1</v>
      </c>
      <c r="B77" s="2">
        <v>816</v>
      </c>
      <c r="C77" s="37">
        <v>95271101</v>
      </c>
      <c r="D77" s="4"/>
      <c r="E77" s="41" t="s">
        <v>205</v>
      </c>
      <c r="F77" s="2">
        <v>20260319</v>
      </c>
      <c r="G77" s="2">
        <v>20260319</v>
      </c>
      <c r="H77" s="2">
        <v>20260319</v>
      </c>
      <c r="I77" s="39" t="s">
        <v>251</v>
      </c>
      <c r="M77" s="45" t="s">
        <v>184</v>
      </c>
      <c r="N77" s="40"/>
      <c r="P77" s="2">
        <v>307030</v>
      </c>
      <c r="R77" s="2" t="s">
        <v>206</v>
      </c>
    </row>
    <row r="78" spans="1:18">
      <c r="A78" s="2">
        <v>1</v>
      </c>
      <c r="B78" s="2">
        <v>817</v>
      </c>
      <c r="C78" s="37">
        <v>95271101</v>
      </c>
      <c r="D78" s="4"/>
      <c r="E78" s="41" t="s">
        <v>205</v>
      </c>
      <c r="F78" s="2">
        <v>20260319</v>
      </c>
      <c r="G78" s="2">
        <v>20260319</v>
      </c>
      <c r="H78" s="2">
        <v>20260319</v>
      </c>
      <c r="I78" s="39" t="s">
        <v>247</v>
      </c>
      <c r="M78" s="45" t="s">
        <v>185</v>
      </c>
      <c r="N78" s="40"/>
      <c r="P78" s="2">
        <v>307030</v>
      </c>
      <c r="R78" s="2" t="s">
        <v>206</v>
      </c>
    </row>
    <row r="79" spans="1:18">
      <c r="A79" s="2">
        <v>1</v>
      </c>
      <c r="B79" s="2">
        <v>818</v>
      </c>
      <c r="C79" s="37">
        <v>95271101</v>
      </c>
      <c r="D79" s="4"/>
      <c r="E79" s="41" t="s">
        <v>205</v>
      </c>
      <c r="F79" s="2">
        <v>20260319</v>
      </c>
      <c r="G79" s="2">
        <v>20260319</v>
      </c>
      <c r="H79" s="2">
        <v>20260319</v>
      </c>
      <c r="I79" s="39" t="s">
        <v>284</v>
      </c>
      <c r="M79" s="45" t="s">
        <v>186</v>
      </c>
      <c r="N79" s="40"/>
      <c r="P79" s="2">
        <v>307030</v>
      </c>
      <c r="R79" s="2" t="s">
        <v>206</v>
      </c>
    </row>
    <row r="80" spans="1:18">
      <c r="A80" s="2">
        <v>1</v>
      </c>
      <c r="B80" s="2">
        <v>819</v>
      </c>
      <c r="C80" s="37">
        <v>95271101</v>
      </c>
      <c r="D80" s="4"/>
      <c r="E80" s="41" t="s">
        <v>205</v>
      </c>
      <c r="F80" s="2">
        <v>20260319</v>
      </c>
      <c r="G80" s="2">
        <v>20260319</v>
      </c>
      <c r="H80" s="2">
        <v>20260319</v>
      </c>
      <c r="I80" s="39" t="s">
        <v>254</v>
      </c>
      <c r="M80" s="45" t="s">
        <v>187</v>
      </c>
      <c r="N80" s="40"/>
      <c r="P80" s="2">
        <v>307030</v>
      </c>
      <c r="R80" s="2" t="s">
        <v>206</v>
      </c>
    </row>
    <row r="81" spans="1:18">
      <c r="A81" s="2">
        <v>1</v>
      </c>
      <c r="B81" s="2">
        <v>820</v>
      </c>
      <c r="C81" s="37">
        <v>95271101</v>
      </c>
      <c r="D81" s="4"/>
      <c r="E81" s="41" t="s">
        <v>205</v>
      </c>
      <c r="F81" s="2">
        <v>20260319</v>
      </c>
      <c r="G81" s="2">
        <v>20260319</v>
      </c>
      <c r="H81" s="2">
        <v>20260319</v>
      </c>
      <c r="I81" s="39" t="s">
        <v>255</v>
      </c>
      <c r="M81" s="45" t="s">
        <v>188</v>
      </c>
      <c r="N81" s="40"/>
      <c r="P81" s="2">
        <v>307030</v>
      </c>
      <c r="R81" s="2" t="s">
        <v>206</v>
      </c>
    </row>
    <row r="82" spans="1:18">
      <c r="A82" s="2">
        <v>1</v>
      </c>
      <c r="B82" s="2">
        <v>821</v>
      </c>
      <c r="C82" s="37">
        <v>95271101</v>
      </c>
      <c r="D82" s="4"/>
      <c r="E82" s="41" t="s">
        <v>205</v>
      </c>
      <c r="F82" s="2">
        <v>20260319</v>
      </c>
      <c r="G82" s="2">
        <v>20260319</v>
      </c>
      <c r="H82" s="2">
        <v>20260319</v>
      </c>
      <c r="I82" s="39" t="s">
        <v>256</v>
      </c>
      <c r="M82" s="45" t="s">
        <v>189</v>
      </c>
      <c r="N82" s="40"/>
      <c r="P82" s="2">
        <v>307030</v>
      </c>
      <c r="R82" s="2" t="s">
        <v>206</v>
      </c>
    </row>
    <row r="83" spans="1:18">
      <c r="A83" s="2">
        <v>1</v>
      </c>
      <c r="B83" s="2">
        <v>822</v>
      </c>
      <c r="C83" s="37">
        <v>95271101</v>
      </c>
      <c r="D83" s="4"/>
      <c r="E83" s="41" t="s">
        <v>205</v>
      </c>
      <c r="F83" s="2">
        <v>20260319</v>
      </c>
      <c r="G83" s="2">
        <v>20260319</v>
      </c>
      <c r="H83" s="2">
        <v>20260319</v>
      </c>
      <c r="I83" s="39" t="s">
        <v>220</v>
      </c>
      <c r="M83" s="45"/>
      <c r="N83" s="40">
        <v>8</v>
      </c>
      <c r="P83" s="2">
        <v>307030</v>
      </c>
      <c r="R83" s="2" t="s">
        <v>206</v>
      </c>
    </row>
    <row r="84" spans="1:18">
      <c r="A84" s="2">
        <v>1</v>
      </c>
      <c r="B84" s="2">
        <v>823</v>
      </c>
      <c r="C84" s="37">
        <v>95271101</v>
      </c>
      <c r="D84" s="4"/>
      <c r="E84" s="41" t="s">
        <v>205</v>
      </c>
      <c r="F84" s="2">
        <v>20260319</v>
      </c>
      <c r="G84" s="2">
        <v>20260319</v>
      </c>
      <c r="H84" s="2">
        <v>20260319</v>
      </c>
      <c r="I84" s="39" t="s">
        <v>243</v>
      </c>
      <c r="M84" s="45" t="s">
        <v>190</v>
      </c>
      <c r="N84" s="40"/>
      <c r="P84" s="2">
        <v>307030</v>
      </c>
      <c r="R84" s="2" t="s">
        <v>206</v>
      </c>
    </row>
    <row r="85" spans="1:18">
      <c r="A85" s="2">
        <v>1</v>
      </c>
      <c r="B85" s="2">
        <v>824</v>
      </c>
      <c r="C85" s="37">
        <v>95271101</v>
      </c>
      <c r="D85" s="4"/>
      <c r="E85" s="41" t="s">
        <v>205</v>
      </c>
      <c r="F85" s="2">
        <v>20260319</v>
      </c>
      <c r="G85" s="2">
        <v>20260319</v>
      </c>
      <c r="H85" s="2">
        <v>20260319</v>
      </c>
      <c r="I85" s="39" t="s">
        <v>232</v>
      </c>
      <c r="M85" s="45" t="s">
        <v>191</v>
      </c>
      <c r="N85" s="40"/>
      <c r="P85" s="2">
        <v>307030</v>
      </c>
      <c r="R85" s="2" t="s">
        <v>206</v>
      </c>
    </row>
    <row r="86" spans="1:18">
      <c r="A86" s="2">
        <v>1</v>
      </c>
      <c r="B86" s="2">
        <v>825</v>
      </c>
      <c r="C86" s="37">
        <v>95271101</v>
      </c>
      <c r="D86" s="4"/>
      <c r="E86" s="41" t="s">
        <v>205</v>
      </c>
      <c r="F86" s="2">
        <v>20260319</v>
      </c>
      <c r="G86" s="2">
        <v>20260319</v>
      </c>
      <c r="H86" s="2">
        <v>20260319</v>
      </c>
      <c r="I86" s="39" t="s">
        <v>239</v>
      </c>
      <c r="M86" s="45" t="s">
        <v>192</v>
      </c>
      <c r="N86" s="40"/>
      <c r="P86" s="2">
        <v>307030</v>
      </c>
      <c r="R86" s="2" t="s">
        <v>206</v>
      </c>
    </row>
    <row r="87" spans="1:18">
      <c r="A87" s="2">
        <v>1</v>
      </c>
      <c r="B87" s="2">
        <v>826</v>
      </c>
      <c r="C87" s="37">
        <v>95271101</v>
      </c>
      <c r="D87" s="4"/>
      <c r="E87" s="41" t="s">
        <v>205</v>
      </c>
      <c r="F87" s="2">
        <v>20260319</v>
      </c>
      <c r="G87" s="2">
        <v>20260319</v>
      </c>
      <c r="H87" s="2">
        <v>20260319</v>
      </c>
      <c r="I87" s="39" t="s">
        <v>253</v>
      </c>
      <c r="M87" s="45" t="s">
        <v>193</v>
      </c>
      <c r="N87" s="40"/>
      <c r="P87" s="2">
        <v>307030</v>
      </c>
      <c r="R87" s="2" t="s">
        <v>206</v>
      </c>
    </row>
    <row r="88" spans="1:18">
      <c r="A88" s="2">
        <v>1</v>
      </c>
      <c r="B88" s="2">
        <v>827</v>
      </c>
      <c r="C88" s="37">
        <v>95271101</v>
      </c>
      <c r="D88" s="4"/>
      <c r="E88" s="41" t="s">
        <v>205</v>
      </c>
      <c r="F88" s="2">
        <v>20260319</v>
      </c>
      <c r="G88" s="2">
        <v>20260319</v>
      </c>
      <c r="H88" s="2">
        <v>20260319</v>
      </c>
      <c r="I88" s="39" t="s">
        <v>278</v>
      </c>
      <c r="M88" s="45" t="s">
        <v>194</v>
      </c>
      <c r="N88" s="40"/>
      <c r="P88" s="2">
        <v>307030</v>
      </c>
      <c r="R88" s="2" t="s">
        <v>206</v>
      </c>
    </row>
    <row r="89" spans="1:18">
      <c r="A89" s="2">
        <v>1</v>
      </c>
      <c r="B89" s="2">
        <v>828</v>
      </c>
      <c r="C89" s="37">
        <v>95271101</v>
      </c>
      <c r="D89" s="4"/>
      <c r="E89" s="41" t="s">
        <v>205</v>
      </c>
      <c r="F89" s="2">
        <v>20260319</v>
      </c>
      <c r="G89" s="2">
        <v>20260319</v>
      </c>
      <c r="H89" s="2">
        <v>20260319</v>
      </c>
      <c r="I89" s="39" t="s">
        <v>223</v>
      </c>
      <c r="M89" s="45" t="s">
        <v>195</v>
      </c>
      <c r="N89" s="40"/>
      <c r="P89" s="2">
        <v>307030</v>
      </c>
      <c r="R89" s="2" t="s">
        <v>206</v>
      </c>
    </row>
    <row r="90" spans="1:18">
      <c r="A90" s="2">
        <v>1</v>
      </c>
      <c r="B90" s="2">
        <v>829</v>
      </c>
      <c r="C90" s="37">
        <v>95271101</v>
      </c>
      <c r="D90" s="4"/>
      <c r="E90" s="41" t="s">
        <v>205</v>
      </c>
      <c r="F90" s="2">
        <v>20260319</v>
      </c>
      <c r="G90" s="2">
        <v>20260319</v>
      </c>
      <c r="H90" s="2">
        <v>20260319</v>
      </c>
      <c r="I90" s="39" t="s">
        <v>227</v>
      </c>
      <c r="M90" s="45" t="s">
        <v>196</v>
      </c>
      <c r="N90" s="40"/>
      <c r="P90" s="2">
        <v>307030</v>
      </c>
      <c r="R90" s="2" t="s">
        <v>206</v>
      </c>
    </row>
    <row r="91" spans="1:18">
      <c r="A91" s="2">
        <v>1</v>
      </c>
      <c r="B91" s="2">
        <v>830</v>
      </c>
      <c r="C91" s="37">
        <v>95271101</v>
      </c>
      <c r="D91" s="4"/>
      <c r="E91" s="41" t="s">
        <v>205</v>
      </c>
      <c r="F91" s="2">
        <v>20260319</v>
      </c>
      <c r="G91" s="2">
        <v>20260319</v>
      </c>
      <c r="H91" s="2">
        <v>20260319</v>
      </c>
      <c r="I91" s="39" t="s">
        <v>276</v>
      </c>
      <c r="M91" s="45" t="s">
        <v>149</v>
      </c>
      <c r="N91" s="40"/>
      <c r="P91" s="2">
        <v>307030</v>
      </c>
      <c r="R91" s="2" t="s">
        <v>206</v>
      </c>
    </row>
    <row r="92" spans="1:18">
      <c r="A92" s="2">
        <v>1</v>
      </c>
      <c r="B92" s="2">
        <v>831</v>
      </c>
      <c r="C92" s="37">
        <v>95271101</v>
      </c>
      <c r="D92" s="4"/>
      <c r="E92" s="41" t="s">
        <v>205</v>
      </c>
      <c r="F92" s="2">
        <v>20260319</v>
      </c>
      <c r="G92" s="2">
        <v>20260319</v>
      </c>
      <c r="H92" s="2">
        <v>20260319</v>
      </c>
      <c r="I92" s="39" t="s">
        <v>234</v>
      </c>
      <c r="M92" s="45" t="s">
        <v>197</v>
      </c>
      <c r="N92" s="40"/>
      <c r="P92" s="2">
        <v>307030</v>
      </c>
      <c r="R92" s="2" t="s">
        <v>206</v>
      </c>
    </row>
    <row r="93" spans="1:18">
      <c r="A93" s="2">
        <v>1</v>
      </c>
      <c r="B93" s="2">
        <v>832</v>
      </c>
      <c r="C93" s="37">
        <v>95271101</v>
      </c>
      <c r="D93" s="4"/>
      <c r="E93" s="41" t="s">
        <v>205</v>
      </c>
      <c r="F93" s="2">
        <v>20260319</v>
      </c>
      <c r="G93" s="2">
        <v>20260319</v>
      </c>
      <c r="H93" s="2">
        <v>20260319</v>
      </c>
      <c r="I93" s="39" t="s">
        <v>240</v>
      </c>
      <c r="M93" s="45" t="s">
        <v>148</v>
      </c>
      <c r="N93" s="40"/>
      <c r="P93" s="2">
        <v>307030</v>
      </c>
      <c r="R93" s="2" t="s">
        <v>206</v>
      </c>
    </row>
    <row r="94" spans="1:18">
      <c r="A94" s="2">
        <v>1</v>
      </c>
      <c r="B94" s="2">
        <v>833</v>
      </c>
      <c r="C94" s="37">
        <v>95271101</v>
      </c>
      <c r="D94" s="4"/>
      <c r="E94" s="41" t="s">
        <v>205</v>
      </c>
      <c r="F94" s="2">
        <v>20260319</v>
      </c>
      <c r="G94" s="2">
        <v>20260319</v>
      </c>
      <c r="H94" s="2">
        <v>20260319</v>
      </c>
      <c r="I94" s="39" t="s">
        <v>241</v>
      </c>
      <c r="M94" s="45" t="s">
        <v>198</v>
      </c>
      <c r="N94" s="40"/>
      <c r="P94" s="2">
        <v>307030</v>
      </c>
      <c r="R94" s="2" t="s">
        <v>206</v>
      </c>
    </row>
    <row r="95" spans="1:18">
      <c r="A95" s="2">
        <v>1</v>
      </c>
      <c r="B95" s="2">
        <v>834</v>
      </c>
      <c r="C95" s="37">
        <v>95271101</v>
      </c>
      <c r="D95" s="4"/>
      <c r="E95" s="41" t="s">
        <v>205</v>
      </c>
      <c r="F95" s="2">
        <v>20260319</v>
      </c>
      <c r="G95" s="2">
        <v>20260319</v>
      </c>
      <c r="H95" s="2">
        <v>20260319</v>
      </c>
      <c r="I95" s="39" t="s">
        <v>242</v>
      </c>
      <c r="M95" s="45" t="s">
        <v>199</v>
      </c>
      <c r="N95" s="40"/>
      <c r="P95" s="2">
        <v>307030</v>
      </c>
      <c r="R95" s="2" t="s">
        <v>206</v>
      </c>
    </row>
    <row r="96" spans="1:18">
      <c r="A96" s="2">
        <v>1</v>
      </c>
      <c r="B96" s="2">
        <v>835</v>
      </c>
      <c r="C96" s="37">
        <v>95271101</v>
      </c>
      <c r="D96" s="4"/>
      <c r="E96" s="41" t="s">
        <v>205</v>
      </c>
      <c r="F96" s="2">
        <v>20260319</v>
      </c>
      <c r="G96" s="2">
        <v>20260319</v>
      </c>
      <c r="H96" s="2">
        <v>20260319</v>
      </c>
      <c r="I96" s="39" t="s">
        <v>244</v>
      </c>
      <c r="M96" s="45" t="s">
        <v>200</v>
      </c>
      <c r="N96" s="40"/>
      <c r="P96" s="2">
        <v>307030</v>
      </c>
      <c r="R96" s="2" t="s">
        <v>206</v>
      </c>
    </row>
    <row r="97" spans="1:18">
      <c r="A97" s="2">
        <v>1</v>
      </c>
      <c r="B97" s="2">
        <v>836</v>
      </c>
      <c r="C97" s="37">
        <v>95271101</v>
      </c>
      <c r="D97" s="4"/>
      <c r="E97" s="41" t="s">
        <v>205</v>
      </c>
      <c r="F97" s="2">
        <v>20260319</v>
      </c>
      <c r="G97" s="2">
        <v>20260319</v>
      </c>
      <c r="H97" s="2">
        <v>20260319</v>
      </c>
      <c r="I97" s="39" t="s">
        <v>249</v>
      </c>
      <c r="M97" s="45" t="s">
        <v>158</v>
      </c>
      <c r="N97" s="40"/>
      <c r="P97" s="2">
        <v>307030</v>
      </c>
      <c r="R97" s="2" t="s">
        <v>206</v>
      </c>
    </row>
    <row r="98" spans="1:18">
      <c r="A98" s="2">
        <v>1</v>
      </c>
      <c r="B98" s="2">
        <v>837</v>
      </c>
      <c r="C98" s="37">
        <v>95271101</v>
      </c>
      <c r="D98" s="4"/>
      <c r="E98" s="41" t="s">
        <v>205</v>
      </c>
      <c r="F98" s="2">
        <v>20260319</v>
      </c>
      <c r="G98" s="2">
        <v>20260319</v>
      </c>
      <c r="H98" s="2">
        <v>20260319</v>
      </c>
      <c r="I98" s="39" t="s">
        <v>250</v>
      </c>
      <c r="M98" s="45" t="s">
        <v>201</v>
      </c>
      <c r="N98" s="40"/>
      <c r="P98" s="2">
        <v>307030</v>
      </c>
      <c r="R98" s="2" t="s">
        <v>206</v>
      </c>
    </row>
    <row r="99" spans="1:18">
      <c r="A99" s="2">
        <v>1</v>
      </c>
      <c r="B99" s="2">
        <v>838</v>
      </c>
      <c r="C99" s="37">
        <v>95271101</v>
      </c>
      <c r="D99" s="4"/>
      <c r="E99" s="41" t="s">
        <v>205</v>
      </c>
      <c r="F99" s="2">
        <v>20260319</v>
      </c>
      <c r="G99" s="2">
        <v>20260319</v>
      </c>
      <c r="H99" s="2">
        <v>20260319</v>
      </c>
      <c r="I99" s="39" t="s">
        <v>257</v>
      </c>
      <c r="M99" s="45"/>
      <c r="N99" s="4">
        <v>33030.839999999997</v>
      </c>
      <c r="P99" s="2">
        <v>307030</v>
      </c>
      <c r="R99" s="2" t="s">
        <v>206</v>
      </c>
    </row>
    <row r="100" spans="1:18">
      <c r="A100" s="2">
        <v>1</v>
      </c>
      <c r="B100" s="2">
        <v>839</v>
      </c>
      <c r="C100" s="37">
        <v>95271101</v>
      </c>
      <c r="D100" s="4"/>
      <c r="E100" s="41" t="s">
        <v>205</v>
      </c>
      <c r="F100" s="2">
        <v>20260319</v>
      </c>
      <c r="G100" s="2">
        <v>20260319</v>
      </c>
      <c r="H100" s="2">
        <v>20260319</v>
      </c>
      <c r="I100" s="39" t="s">
        <v>261</v>
      </c>
      <c r="M100" s="45" t="s">
        <v>146</v>
      </c>
      <c r="N100" s="40"/>
      <c r="P100" s="2">
        <v>307030</v>
      </c>
      <c r="R100" s="2" t="s">
        <v>206</v>
      </c>
    </row>
    <row r="101" spans="1:18">
      <c r="A101" s="2">
        <v>1</v>
      </c>
      <c r="B101" s="2">
        <v>840</v>
      </c>
      <c r="C101" s="37">
        <v>95271101</v>
      </c>
      <c r="D101" s="4"/>
      <c r="E101" s="41" t="s">
        <v>205</v>
      </c>
      <c r="F101" s="2">
        <v>20260319</v>
      </c>
      <c r="G101" s="2">
        <v>20260319</v>
      </c>
      <c r="H101" s="2">
        <v>20260319</v>
      </c>
      <c r="I101" s="39" t="s">
        <v>265</v>
      </c>
      <c r="M101" s="45" t="s">
        <v>202</v>
      </c>
      <c r="N101" s="40"/>
      <c r="P101" s="2">
        <v>307030</v>
      </c>
      <c r="R101" s="2" t="s">
        <v>206</v>
      </c>
    </row>
    <row r="102" spans="1:18">
      <c r="A102" s="2">
        <v>1</v>
      </c>
      <c r="B102" s="2">
        <v>841</v>
      </c>
      <c r="C102" s="37">
        <v>95271101</v>
      </c>
      <c r="D102" s="4"/>
      <c r="E102" s="41" t="s">
        <v>205</v>
      </c>
      <c r="F102" s="2">
        <v>20260319</v>
      </c>
      <c r="G102" s="2">
        <v>20260319</v>
      </c>
      <c r="H102" s="2">
        <v>20260319</v>
      </c>
      <c r="I102" s="39" t="s">
        <v>283</v>
      </c>
      <c r="M102" s="45" t="s">
        <v>124</v>
      </c>
      <c r="N102" s="40"/>
      <c r="P102" s="2">
        <v>307030</v>
      </c>
      <c r="R102" s="2" t="s">
        <v>206</v>
      </c>
    </row>
    <row r="103" spans="1:18">
      <c r="A103" s="2">
        <v>1</v>
      </c>
      <c r="B103" s="2">
        <v>842</v>
      </c>
      <c r="C103" s="37">
        <v>95271101</v>
      </c>
      <c r="D103" s="4"/>
      <c r="E103" s="41" t="s">
        <v>205</v>
      </c>
      <c r="F103" s="2">
        <v>20260319</v>
      </c>
      <c r="G103" s="2">
        <v>20260319</v>
      </c>
      <c r="H103" s="2">
        <v>20260319</v>
      </c>
      <c r="I103" s="39" t="s">
        <v>268</v>
      </c>
      <c r="M103" s="45" t="s">
        <v>197</v>
      </c>
      <c r="N103" s="40"/>
      <c r="P103" s="2">
        <v>307030</v>
      </c>
      <c r="R103" s="2" t="s">
        <v>206</v>
      </c>
    </row>
    <row r="104" spans="1:18">
      <c r="A104" s="2">
        <v>1</v>
      </c>
      <c r="B104" s="2">
        <v>843</v>
      </c>
      <c r="C104" s="37">
        <v>95271101</v>
      </c>
      <c r="D104" s="4"/>
      <c r="E104" s="41" t="s">
        <v>205</v>
      </c>
      <c r="F104" s="2">
        <v>20260319</v>
      </c>
      <c r="G104" s="2">
        <v>20260319</v>
      </c>
      <c r="H104" s="2">
        <v>20260319</v>
      </c>
      <c r="I104" s="39" t="s">
        <v>271</v>
      </c>
      <c r="M104" s="45" t="s">
        <v>123</v>
      </c>
      <c r="N104" s="40"/>
      <c r="P104" s="2">
        <v>307030</v>
      </c>
      <c r="R104" s="2" t="s">
        <v>206</v>
      </c>
    </row>
    <row r="105" spans="1:18">
      <c r="A105" s="2">
        <v>1</v>
      </c>
      <c r="B105" s="2">
        <v>844</v>
      </c>
      <c r="C105" s="37">
        <v>95271101</v>
      </c>
      <c r="D105" s="4"/>
      <c r="E105" s="41" t="s">
        <v>205</v>
      </c>
      <c r="F105" s="2">
        <v>20260319</v>
      </c>
      <c r="G105" s="2">
        <v>20260319</v>
      </c>
      <c r="H105" s="2">
        <v>20260319</v>
      </c>
      <c r="I105" s="39" t="s">
        <v>277</v>
      </c>
      <c r="M105" s="45" t="s">
        <v>203</v>
      </c>
      <c r="N105" s="40"/>
      <c r="P105" s="2">
        <v>307030</v>
      </c>
      <c r="R105" s="2" t="s">
        <v>206</v>
      </c>
    </row>
    <row r="106" spans="1:18">
      <c r="A106" s="2">
        <v>1</v>
      </c>
      <c r="B106" s="2">
        <v>845</v>
      </c>
      <c r="C106" s="37">
        <v>95271101</v>
      </c>
      <c r="D106" s="4"/>
      <c r="E106" s="41" t="s">
        <v>205</v>
      </c>
      <c r="F106" s="2">
        <v>20260319</v>
      </c>
      <c r="G106" s="2">
        <v>20260319</v>
      </c>
      <c r="H106" s="2">
        <v>20260319</v>
      </c>
      <c r="I106" s="39" t="s">
        <v>280</v>
      </c>
      <c r="M106" s="45" t="s">
        <v>204</v>
      </c>
      <c r="N106" s="40"/>
      <c r="P106" s="2">
        <v>307030</v>
      </c>
      <c r="R106" s="2" t="s">
        <v>206</v>
      </c>
    </row>
    <row r="111" spans="1:18">
      <c r="P111" s="4"/>
    </row>
    <row r="114" spans="15:15">
      <c r="O114" s="4"/>
    </row>
  </sheetData>
  <autoFilter ref="A1:R106" xr:uid="{00000000-0001-0000-0000-000000000000}"/>
  <phoneticPr fontId="8" type="noConversion"/>
  <pageMargins left="0.75" right="0.75" top="1" bottom="1" header="0.5" footer="0.5"/>
  <pageSetup paperSize="9" scale="7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7"/>
  <sheetViews>
    <sheetView workbookViewId="0">
      <pane ySplit="2" topLeftCell="A3" activePane="bottomLeft" state="frozen"/>
      <selection pane="bottomLeft" activeCell="J12" sqref="J12"/>
    </sheetView>
  </sheetViews>
  <sheetFormatPr baseColWidth="10" defaultColWidth="9.109375" defaultRowHeight="13.2"/>
  <cols>
    <col min="1" max="1" width="10.88671875" style="3" bestFit="1" customWidth="1"/>
    <col min="2" max="2" width="15.6640625" style="3" bestFit="1" customWidth="1"/>
    <col min="3" max="3" width="15.33203125" style="1" bestFit="1" customWidth="1"/>
    <col min="4" max="4" width="30.33203125" style="1" customWidth="1"/>
    <col min="5" max="5" width="23" style="1" customWidth="1"/>
    <col min="6" max="6" width="19.5546875" style="1" customWidth="1"/>
    <col min="7" max="7" width="20.5546875" style="1" bestFit="1" customWidth="1"/>
    <col min="8" max="8" width="11.5546875" style="1" customWidth="1"/>
    <col min="9" max="9" width="13.44140625" style="4" bestFit="1" customWidth="1"/>
    <col min="10" max="10" width="11.6640625" style="4" bestFit="1" customWidth="1"/>
    <col min="11" max="11" width="16.6640625" style="4" bestFit="1" customWidth="1"/>
    <col min="12" max="12" width="13.5546875" style="4" bestFit="1" customWidth="1"/>
    <col min="13" max="13" width="13" style="4" bestFit="1" customWidth="1"/>
    <col min="14" max="14" width="13.6640625" style="4" bestFit="1" customWidth="1"/>
    <col min="15" max="15" width="11.44140625" style="2" bestFit="1" customWidth="1"/>
    <col min="16" max="16" width="18.88671875" style="2" hidden="1" customWidth="1"/>
    <col min="17" max="17" width="9.44140625" style="2" hidden="1" customWidth="1"/>
    <col min="18" max="18" width="14.33203125" style="2" hidden="1" customWidth="1"/>
    <col min="19" max="19" width="12.109375" style="2" hidden="1" customWidth="1"/>
    <col min="20" max="21" width="11.5546875" style="2" hidden="1" customWidth="1"/>
    <col min="22" max="22" width="11.44140625" style="2" hidden="1" customWidth="1"/>
    <col min="23" max="24" width="15.33203125" style="2" hidden="1" customWidth="1"/>
    <col min="25" max="25" width="10.6640625" style="2" hidden="1" customWidth="1"/>
    <col min="26" max="26" width="18.88671875" style="2" hidden="1" customWidth="1"/>
    <col min="27" max="27" width="17.44140625" style="2" hidden="1" customWidth="1"/>
    <col min="28" max="28" width="9.88671875" style="2" hidden="1" customWidth="1"/>
    <col min="29" max="29" width="10.88671875" style="2" hidden="1" customWidth="1"/>
    <col min="30" max="30" width="7.88671875" style="2" hidden="1" customWidth="1"/>
    <col min="31" max="31" width="13" style="2" hidden="1" customWidth="1"/>
    <col min="32" max="16384" width="9.109375" style="2"/>
  </cols>
  <sheetData>
    <row r="1" spans="1:3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3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0" t="s">
        <v>40</v>
      </c>
      <c r="K2" s="10" t="s">
        <v>41</v>
      </c>
      <c r="L2" s="10" t="s">
        <v>42</v>
      </c>
      <c r="M2" s="10" t="s">
        <v>43</v>
      </c>
      <c r="N2" s="10" t="s">
        <v>44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45</v>
      </c>
      <c r="AF2" s="2" t="s">
        <v>63</v>
      </c>
      <c r="AG2" s="2" t="s">
        <v>64</v>
      </c>
    </row>
    <row r="3" spans="1:33">
      <c r="A3" s="3">
        <v>1</v>
      </c>
      <c r="B3" s="3">
        <v>0</v>
      </c>
      <c r="C3" s="1" t="s">
        <v>46</v>
      </c>
      <c r="E3" s="1" t="s">
        <v>65</v>
      </c>
      <c r="F3" s="1" t="s">
        <v>65</v>
      </c>
      <c r="G3" s="1" t="s">
        <v>65</v>
      </c>
      <c r="I3" s="4">
        <v>33140.959999999999</v>
      </c>
      <c r="AF3" s="2" t="e">
        <f>IF(I3="",0-IF(VLOOKUP(C3,BalanceComprobacion!B:G,5,FALSE)="",0,VLOOKUP(C3,BalanceComprobacion!B:G,5,FALSE)),DetalleSaldosBancosFinal1!I3-IF(VLOOKUP(DetalleSaldosBancosFinal1!C3,BalanceComprobacion!B:G,5,FALSE)="",0,VLOOKUP(DetalleSaldosBancosFinal1!C3,BalanceComprobacion!B:G,5,FALSE)))</f>
        <v>#N/A</v>
      </c>
      <c r="AG3" s="2" t="e">
        <f>IF(J3="",0-IF(VLOOKUP(C3,BalanceComprobacion!B:G,6,FALSE)="",0,VLOOKUP(C3,BalanceComprobacion!B:G,6,FALSE)),DetalleSaldosBancosFinal1!J3-IF(VLOOKUP(DetalleSaldosBancosFinal1!C3,BalanceComprobacion!B:G,6,FALSE)="",0,VLOOKUP(DetalleSaldosBancosFinal1!C3,BalanceComprobacion!B:G,6,FALSE)))</f>
        <v>#N/A</v>
      </c>
    </row>
    <row r="4" spans="1:33">
      <c r="A4" s="3">
        <v>1</v>
      </c>
      <c r="B4" s="3">
        <v>1</v>
      </c>
      <c r="C4" s="1" t="s">
        <v>47</v>
      </c>
      <c r="E4" s="1" t="s">
        <v>65</v>
      </c>
      <c r="F4" s="1" t="s">
        <v>65</v>
      </c>
      <c r="G4" s="1" t="s">
        <v>65</v>
      </c>
      <c r="I4" s="4">
        <v>2500</v>
      </c>
      <c r="AF4" s="2" t="e">
        <f>IF(I4="",0-IF(VLOOKUP(C4,BalanceComprobacion!B:G,5,FALSE)="",0,VLOOKUP(C4,BalanceComprobacion!B:G,5,FALSE)),DetalleSaldosBancosFinal1!I4-IF(VLOOKUP(DetalleSaldosBancosFinal1!C4,BalanceComprobacion!B:G,5,FALSE)="",0,VLOOKUP(DetalleSaldosBancosFinal1!C4,BalanceComprobacion!B:G,5,FALSE)))</f>
        <v>#N/A</v>
      </c>
      <c r="AG4" s="2" t="e">
        <f>IF(J4="",0-IF(VLOOKUP(C4,BalanceComprobacion!B:G,6,FALSE)="",0,VLOOKUP(C4,BalanceComprobacion!B:G,6,FALSE)),DetalleSaldosBancosFinal1!J4-IF(VLOOKUP(DetalleSaldosBancosFinal1!C4,BalanceComprobacion!B:G,6,FALSE)="",0,VLOOKUP(DetalleSaldosBancosFinal1!C4,BalanceComprobacion!B:G,6,FALSE)))</f>
        <v>#N/A</v>
      </c>
    </row>
    <row r="5" spans="1:33">
      <c r="A5" s="3">
        <v>1</v>
      </c>
      <c r="B5" s="3">
        <v>2</v>
      </c>
      <c r="C5" s="1" t="s">
        <v>49</v>
      </c>
      <c r="E5" s="1" t="s">
        <v>65</v>
      </c>
      <c r="F5" s="1" t="s">
        <v>65</v>
      </c>
      <c r="G5" s="1" t="s">
        <v>65</v>
      </c>
      <c r="I5" s="4">
        <v>163954</v>
      </c>
      <c r="AF5" s="2" t="e">
        <f>IF(I5="",0-IF(VLOOKUP(C5,BalanceComprobacion!B:G,5,FALSE)="",0,VLOOKUP(C5,BalanceComprobacion!B:G,5,FALSE)),DetalleSaldosBancosFinal1!I5-IF(VLOOKUP(DetalleSaldosBancosFinal1!C5,BalanceComprobacion!B:G,5,FALSE)="",0,VLOOKUP(DetalleSaldosBancosFinal1!C5,BalanceComprobacion!B:G,5,FALSE)))</f>
        <v>#N/A</v>
      </c>
      <c r="AG5" s="2" t="e">
        <f>IF(J5="",0-IF(VLOOKUP(C5,BalanceComprobacion!B:G,6,FALSE)="",0,VLOOKUP(C5,BalanceComprobacion!B:G,6,FALSE)),DetalleSaldosBancosFinal1!J5-IF(VLOOKUP(DetalleSaldosBancosFinal1!C5,BalanceComprobacion!B:G,6,FALSE)="",0,VLOOKUP(DetalleSaldosBancosFinal1!C5,BalanceComprobacion!B:G,6,FALSE)))</f>
        <v>#N/A</v>
      </c>
    </row>
    <row r="6" spans="1:33">
      <c r="A6" s="3">
        <v>1</v>
      </c>
      <c r="B6" s="3">
        <v>3</v>
      </c>
      <c r="C6" s="1" t="s">
        <v>50</v>
      </c>
      <c r="E6" s="1" t="s">
        <v>65</v>
      </c>
      <c r="F6" s="1" t="s">
        <v>65</v>
      </c>
      <c r="G6" s="1" t="s">
        <v>65</v>
      </c>
      <c r="J6" s="4">
        <v>102576.83</v>
      </c>
      <c r="AF6" s="2" t="e">
        <f>IF(I6="",0-IF(VLOOKUP(C6,BalanceComprobacion!B:G,5,FALSE)="",0,VLOOKUP(C6,BalanceComprobacion!B:G,5,FALSE)),DetalleSaldosBancosFinal1!I6-IF(VLOOKUP(DetalleSaldosBancosFinal1!C6,BalanceComprobacion!B:G,5,FALSE)="",0,VLOOKUP(DetalleSaldosBancosFinal1!C6,BalanceComprobacion!B:G,5,FALSE)))</f>
        <v>#N/A</v>
      </c>
      <c r="AG6" s="2" t="e">
        <f>IF(J6="",0-IF(VLOOKUP(C6,BalanceComprobacion!B:G,6,FALSE)="",0,VLOOKUP(C6,BalanceComprobacion!B:G,6,FALSE)),DetalleSaldosBancosFinal1!J6-IF(VLOOKUP(DetalleSaldosBancosFinal1!C6,BalanceComprobacion!B:G,6,FALSE)="",0,VLOOKUP(DetalleSaldosBancosFinal1!C6,BalanceComprobacion!B:G,6,FALSE)))</f>
        <v>#N/A</v>
      </c>
    </row>
    <row r="7" spans="1:33">
      <c r="A7" s="3">
        <v>1</v>
      </c>
      <c r="B7" s="3">
        <v>4</v>
      </c>
      <c r="C7" s="1" t="s">
        <v>48</v>
      </c>
      <c r="E7" s="1" t="s">
        <v>65</v>
      </c>
      <c r="F7" s="1" t="s">
        <v>65</v>
      </c>
      <c r="G7" s="1" t="s">
        <v>65</v>
      </c>
      <c r="J7" s="4">
        <v>135406.37</v>
      </c>
      <c r="AF7" s="2" t="e">
        <f>IF(I7="",0-IF(VLOOKUP(C7,BalanceComprobacion!B:G,5,FALSE)="",0,VLOOKUP(C7,BalanceComprobacion!B:G,5,FALSE)),DetalleSaldosBancosFinal1!I7-IF(VLOOKUP(DetalleSaldosBancosFinal1!C7,BalanceComprobacion!B:G,5,FALSE)="",0,VLOOKUP(DetalleSaldosBancosFinal1!C7,BalanceComprobacion!B:G,5,FALSE)))</f>
        <v>#N/A</v>
      </c>
      <c r="AG7" s="2" t="e">
        <f>IF(J7="",0-IF(VLOOKUP(C7,BalanceComprobacion!B:G,6,FALSE)="",0,VLOOKUP(C7,BalanceComprobacion!B:G,6,FALSE)),DetalleSaldosBancosFinal1!J7-IF(VLOOKUP(DetalleSaldosBancosFinal1!C7,BalanceComprobacion!B:G,6,FALSE)="",0,VLOOKUP(DetalleSaldosBancosFinal1!C7,BalanceComprobacion!B:G,6,FALSE)))</f>
        <v>#N/A</v>
      </c>
    </row>
    <row r="8" spans="1:33">
      <c r="A8" s="3">
        <v>1</v>
      </c>
      <c r="B8" s="3">
        <v>5</v>
      </c>
      <c r="C8" s="1" t="s">
        <v>51</v>
      </c>
      <c r="E8" s="1" t="s">
        <v>65</v>
      </c>
      <c r="F8" s="1" t="s">
        <v>65</v>
      </c>
      <c r="G8" s="1" t="s">
        <v>65</v>
      </c>
      <c r="J8" s="4">
        <v>3787.69</v>
      </c>
      <c r="AF8" s="2" t="e">
        <f>IF(I8="",0-IF(VLOOKUP(C8,BalanceComprobacion!B:G,5,FALSE)="",0,VLOOKUP(C8,BalanceComprobacion!B:G,5,FALSE)),DetalleSaldosBancosFinal1!I8-IF(VLOOKUP(DetalleSaldosBancosFinal1!C8,BalanceComprobacion!B:G,5,FALSE)="",0,VLOOKUP(DetalleSaldosBancosFinal1!C8,BalanceComprobacion!B:G,5,FALSE)))</f>
        <v>#N/A</v>
      </c>
      <c r="AG8" s="2" t="e">
        <f>IF(J8="",0-IF(VLOOKUP(C8,BalanceComprobacion!B:G,6,FALSE)="",0,VLOOKUP(C8,BalanceComprobacion!B:G,6,FALSE)),DetalleSaldosBancosFinal1!J8-IF(VLOOKUP(DetalleSaldosBancosFinal1!C8,BalanceComprobacion!B:G,6,FALSE)="",0,VLOOKUP(DetalleSaldosBancosFinal1!C8,BalanceComprobacion!B:G,6,FALSE)))</f>
        <v>#N/A</v>
      </c>
    </row>
    <row r="9" spans="1:33">
      <c r="A9" s="3">
        <v>1</v>
      </c>
      <c r="B9" s="3">
        <v>6</v>
      </c>
      <c r="C9" s="1" t="s">
        <v>66</v>
      </c>
      <c r="E9" s="1" t="s">
        <v>65</v>
      </c>
      <c r="F9" s="1" t="s">
        <v>65</v>
      </c>
      <c r="G9" s="1" t="s">
        <v>65</v>
      </c>
      <c r="I9" s="4">
        <v>515904.17</v>
      </c>
      <c r="AF9" s="2" t="e">
        <f>IF(I9="",0-IF(VLOOKUP(C9,BalanceComprobacion!B:G,5,FALSE)="",0,VLOOKUP(C9,BalanceComprobacion!B:G,5,FALSE)),DetalleSaldosBancosFinal1!I9-IF(VLOOKUP(DetalleSaldosBancosFinal1!C9,BalanceComprobacion!B:G,5,FALSE)="",0,VLOOKUP(DetalleSaldosBancosFinal1!C9,BalanceComprobacion!B:G,5,FALSE)))</f>
        <v>#N/A</v>
      </c>
      <c r="AG9" s="2" t="e">
        <f>IF(J9="",0-IF(VLOOKUP(C9,BalanceComprobacion!B:G,6,FALSE)="",0,VLOOKUP(C9,BalanceComprobacion!B:G,6,FALSE)),DetalleSaldosBancosFinal1!J9-IF(VLOOKUP(DetalleSaldosBancosFinal1!C9,BalanceComprobacion!B:G,6,FALSE)="",0,VLOOKUP(DetalleSaldosBancosFinal1!C9,BalanceComprobacion!B:G,6,FALSE)))</f>
        <v>#N/A</v>
      </c>
    </row>
    <row r="10" spans="1:33">
      <c r="A10" s="5">
        <v>1</v>
      </c>
      <c r="B10" s="5">
        <v>6</v>
      </c>
      <c r="C10" s="6" t="s">
        <v>52</v>
      </c>
      <c r="D10" s="6" t="s">
        <v>53</v>
      </c>
      <c r="E10" s="6" t="s">
        <v>65</v>
      </c>
      <c r="F10" s="6" t="s">
        <v>65</v>
      </c>
      <c r="G10" s="6" t="s">
        <v>65</v>
      </c>
      <c r="H10" s="6"/>
      <c r="I10" s="7"/>
      <c r="J10" s="8">
        <v>473728.24</v>
      </c>
      <c r="K10" s="8"/>
      <c r="L10" s="8"/>
      <c r="M10" s="8"/>
      <c r="N10" s="8"/>
      <c r="AF10" s="2" t="e">
        <f>IF(I10="",0-IF(VLOOKUP(C10,BalanceComprobacion!B:G,5,FALSE)="",0,VLOOKUP(C10,BalanceComprobacion!B:G,5,FALSE)),DetalleSaldosBancosFinal1!I10-IF(VLOOKUP(DetalleSaldosBancosFinal1!C10,BalanceComprobacion!B:G,5,FALSE)="",0,VLOOKUP(DetalleSaldosBancosFinal1!C10,BalanceComprobacion!B:G,5,FALSE)))</f>
        <v>#N/A</v>
      </c>
      <c r="AG10" s="2" t="e">
        <f>IF(J10="",0-IF(VLOOKUP(C10,BalanceComprobacion!B:G,6,FALSE)="",0,VLOOKUP(C10,BalanceComprobacion!B:G,6,FALSE)),DetalleSaldosBancosFinal1!J10-IF(VLOOKUP(DetalleSaldosBancosFinal1!C10,BalanceComprobacion!B:G,6,FALSE)="",0,VLOOKUP(DetalleSaldosBancosFinal1!C10,BalanceComprobacion!B:G,6,FALSE)))</f>
        <v>#N/A</v>
      </c>
    </row>
    <row r="11" spans="1:33">
      <c r="A11" s="3">
        <v>2</v>
      </c>
      <c r="B11" s="3">
        <v>0</v>
      </c>
      <c r="C11" s="1" t="s">
        <v>54</v>
      </c>
      <c r="E11" s="1" t="s">
        <v>65</v>
      </c>
      <c r="F11" s="1" t="s">
        <v>65</v>
      </c>
      <c r="G11" s="1" t="s">
        <v>65</v>
      </c>
      <c r="H11" s="1" t="s">
        <v>55</v>
      </c>
      <c r="J11" s="4">
        <v>111903.09</v>
      </c>
      <c r="L11" s="4">
        <v>40209.519999999997</v>
      </c>
      <c r="N11" s="4">
        <v>40209.519999999997</v>
      </c>
      <c r="O11" s="2">
        <f>+J11/L11</f>
        <v>2.7829998965419134</v>
      </c>
      <c r="AF11" s="2" t="e">
        <f>IF(I11="",0-IF(VLOOKUP(C11,BalanceComprobacion!B:G,5,FALSE)="",0,VLOOKUP(C11,BalanceComprobacion!B:G,5,FALSE)),DetalleSaldosBancosFinal1!I11-IF(VLOOKUP(DetalleSaldosBancosFinal1!C11,BalanceComprobacion!B:G,5,FALSE)="",0,VLOOKUP(DetalleSaldosBancosFinal1!C11,BalanceComprobacion!B:G,5,FALSE)))</f>
        <v>#N/A</v>
      </c>
      <c r="AG11" s="2" t="e">
        <f>IF(J11="",0-IF(VLOOKUP(C11,BalanceComprobacion!B:G,6,FALSE)="",0,VLOOKUP(C11,BalanceComprobacion!B:G,6,FALSE)),DetalleSaldosBancosFinal1!J11-IF(VLOOKUP(DetalleSaldosBancosFinal1!C11,BalanceComprobacion!B:G,6,FALSE)="",0,VLOOKUP(DetalleSaldosBancosFinal1!C11,BalanceComprobacion!B:G,6,FALSE)))</f>
        <v>#N/A</v>
      </c>
    </row>
    <row r="12" spans="1:33" s="19" customFormat="1">
      <c r="A12" s="23">
        <v>2</v>
      </c>
      <c r="B12" s="23">
        <v>1</v>
      </c>
      <c r="C12" s="24" t="s">
        <v>56</v>
      </c>
      <c r="D12" s="24"/>
      <c r="E12" s="24" t="s">
        <v>65</v>
      </c>
      <c r="F12" s="24" t="s">
        <v>65</v>
      </c>
      <c r="G12" s="24" t="s">
        <v>65</v>
      </c>
      <c r="H12" s="24" t="s">
        <v>55</v>
      </c>
      <c r="I12" s="25">
        <v>323742.15999999997</v>
      </c>
      <c r="J12" s="25"/>
      <c r="K12" s="25">
        <v>116328.48</v>
      </c>
      <c r="L12" s="25"/>
      <c r="M12" s="25">
        <v>116328.48</v>
      </c>
      <c r="N12" s="25"/>
      <c r="O12" s="19">
        <f>+I12/M12</f>
        <v>2.7830000013754153</v>
      </c>
      <c r="AF12" s="19" t="e">
        <f>IF(I12="",0-IF(VLOOKUP(C12,BalanceComprobacion!B:G,5,FALSE)="",0,VLOOKUP(C12,BalanceComprobacion!B:G,5,FALSE)),DetalleSaldosBancosFinal1!I12-IF(VLOOKUP(DetalleSaldosBancosFinal1!C12,BalanceComprobacion!B:G,5,FALSE)="",0,VLOOKUP(DetalleSaldosBancosFinal1!C12,BalanceComprobacion!B:G,5,FALSE)))</f>
        <v>#N/A</v>
      </c>
      <c r="AG12" s="19" t="e">
        <f>IF(J12="",0-IF(VLOOKUP(C12,BalanceComprobacion!B:G,6,FALSE)="",0,VLOOKUP(C12,BalanceComprobacion!B:G,6,FALSE)),DetalleSaldosBancosFinal1!J12-IF(VLOOKUP(DetalleSaldosBancosFinal1!C12,BalanceComprobacion!B:G,6,FALSE)="",0,VLOOKUP(DetalleSaldosBancosFinal1!C12,BalanceComprobacion!B:G,6,FALSE)))</f>
        <v>#N/A</v>
      </c>
    </row>
    <row r="13" spans="1:33">
      <c r="A13" s="3">
        <v>2</v>
      </c>
      <c r="B13" s="3">
        <v>2</v>
      </c>
      <c r="C13" s="1" t="s">
        <v>57</v>
      </c>
      <c r="E13" s="1" t="s">
        <v>65</v>
      </c>
      <c r="F13" s="1" t="s">
        <v>65</v>
      </c>
      <c r="G13" s="1" t="s">
        <v>65</v>
      </c>
      <c r="H13" s="1" t="s">
        <v>55</v>
      </c>
      <c r="I13" s="4">
        <v>24120.1</v>
      </c>
      <c r="K13" s="4">
        <v>8676.2999999999993</v>
      </c>
      <c r="M13" s="4">
        <v>8676.2999999999993</v>
      </c>
      <c r="O13" s="2">
        <f t="shared" ref="O13:O15" si="0">+I13/M13</f>
        <v>2.7799983864089532</v>
      </c>
      <c r="AF13" s="2" t="e">
        <f>IF(I13="",0-IF(VLOOKUP(C13,BalanceComprobacion!B:G,5,FALSE)="",0,VLOOKUP(C13,BalanceComprobacion!B:G,5,FALSE)),DetalleSaldosBancosFinal1!I13-IF(VLOOKUP(DetalleSaldosBancosFinal1!C13,BalanceComprobacion!B:G,5,FALSE)="",0,VLOOKUP(DetalleSaldosBancosFinal1!C13,BalanceComprobacion!B:G,5,FALSE)))</f>
        <v>#N/A</v>
      </c>
      <c r="AG13" s="2" t="e">
        <f>IF(J13="",0-IF(VLOOKUP(C13,BalanceComprobacion!B:G,6,FALSE)="",0,VLOOKUP(C13,BalanceComprobacion!B:G,6,FALSE)),DetalleSaldosBancosFinal1!J13-IF(VLOOKUP(DetalleSaldosBancosFinal1!C13,BalanceComprobacion!B:G,6,FALSE)="",0,VLOOKUP(DetalleSaldosBancosFinal1!C13,BalanceComprobacion!B:G,6,FALSE)))</f>
        <v>#N/A</v>
      </c>
    </row>
    <row r="14" spans="1:33">
      <c r="A14" s="3">
        <v>2</v>
      </c>
      <c r="B14" s="3">
        <v>3</v>
      </c>
      <c r="C14" s="1" t="s">
        <v>59</v>
      </c>
      <c r="E14" s="1" t="s">
        <v>65</v>
      </c>
      <c r="F14" s="1" t="s">
        <v>65</v>
      </c>
      <c r="G14" s="1" t="s">
        <v>65</v>
      </c>
      <c r="H14" s="1" t="s">
        <v>55</v>
      </c>
      <c r="I14" s="4">
        <v>184969.64</v>
      </c>
      <c r="K14" s="4">
        <v>66535.839999999997</v>
      </c>
      <c r="M14" s="4">
        <v>66535.839999999997</v>
      </c>
      <c r="O14" s="2">
        <f t="shared" si="0"/>
        <v>2.7800000721415712</v>
      </c>
      <c r="AF14" s="2" t="e">
        <f>IF(I14="",0-IF(VLOOKUP(C14,BalanceComprobacion!B:G,5,FALSE)="",0,VLOOKUP(C14,BalanceComprobacion!B:G,5,FALSE)),DetalleSaldosBancosFinal1!I14-IF(VLOOKUP(DetalleSaldosBancosFinal1!C14,BalanceComprobacion!B:G,5,FALSE)="",0,VLOOKUP(DetalleSaldosBancosFinal1!C14,BalanceComprobacion!B:G,5,FALSE)))</f>
        <v>#N/A</v>
      </c>
      <c r="AG14" s="2" t="e">
        <f>IF(J14="",0-IF(VLOOKUP(C14,BalanceComprobacion!B:G,6,FALSE)="",0,VLOOKUP(C14,BalanceComprobacion!B:G,6,FALSE)),DetalleSaldosBancosFinal1!J14-IF(VLOOKUP(DetalleSaldosBancosFinal1!C14,BalanceComprobacion!B:G,6,FALSE)="",0,VLOOKUP(DetalleSaldosBancosFinal1!C14,BalanceComprobacion!B:G,6,FALSE)))</f>
        <v>#N/A</v>
      </c>
    </row>
    <row r="15" spans="1:33">
      <c r="A15" s="3">
        <v>2</v>
      </c>
      <c r="B15" s="3">
        <v>4</v>
      </c>
      <c r="C15" s="1" t="s">
        <v>58</v>
      </c>
      <c r="E15" s="1" t="s">
        <v>65</v>
      </c>
      <c r="F15" s="1" t="s">
        <v>65</v>
      </c>
      <c r="G15" s="1" t="s">
        <v>65</v>
      </c>
      <c r="H15" s="1" t="s">
        <v>55</v>
      </c>
      <c r="J15" s="4">
        <v>2986548.43</v>
      </c>
      <c r="L15" s="4">
        <v>1073139.93</v>
      </c>
      <c r="N15" s="4">
        <v>1073139.93</v>
      </c>
      <c r="O15" s="2" t="e">
        <f t="shared" si="0"/>
        <v>#DIV/0!</v>
      </c>
      <c r="AF15" s="2" t="e">
        <f>IF(I15="",0-IF(VLOOKUP(C15,BalanceComprobacion!B:G,5,FALSE)="",0,VLOOKUP(C15,BalanceComprobacion!B:G,5,FALSE)),DetalleSaldosBancosFinal1!I15-IF(VLOOKUP(DetalleSaldosBancosFinal1!C15,BalanceComprobacion!B:G,5,FALSE)="",0,VLOOKUP(DetalleSaldosBancosFinal1!C15,BalanceComprobacion!B:G,5,FALSE)))</f>
        <v>#N/A</v>
      </c>
      <c r="AG15" s="2" t="e">
        <f>IF(J15="",0-IF(VLOOKUP(C15,BalanceComprobacion!B:G,6,FALSE)="",0,VLOOKUP(C15,BalanceComprobacion!B:G,6,FALSE)),DetalleSaldosBancosFinal1!J15-IF(VLOOKUP(DetalleSaldosBancosFinal1!C15,BalanceComprobacion!B:G,6,FALSE)="",0,VLOOKUP(DetalleSaldosBancosFinal1!C15,BalanceComprobacion!B:G,6,FALSE)))</f>
        <v>#N/A</v>
      </c>
    </row>
    <row r="16" spans="1:33">
      <c r="A16" s="3">
        <v>2</v>
      </c>
      <c r="B16" s="3">
        <v>5</v>
      </c>
      <c r="C16" s="1" t="s">
        <v>60</v>
      </c>
      <c r="E16" s="1" t="s">
        <v>65</v>
      </c>
      <c r="F16" s="1" t="s">
        <v>65</v>
      </c>
      <c r="G16" s="1" t="s">
        <v>65</v>
      </c>
      <c r="H16" s="1" t="s">
        <v>55</v>
      </c>
      <c r="J16" s="4">
        <v>97082.81</v>
      </c>
      <c r="L16" s="4">
        <v>34884.230000000003</v>
      </c>
      <c r="N16" s="4">
        <v>34884.230000000003</v>
      </c>
      <c r="AF16" s="2" t="e">
        <f>IF(I16="",0-IF(VLOOKUP(C16,BalanceComprobacion!B:G,5,FALSE)="",0,VLOOKUP(C16,BalanceComprobacion!B:G,5,FALSE)),DetalleSaldosBancosFinal1!I16-IF(VLOOKUP(DetalleSaldosBancosFinal1!C16,BalanceComprobacion!B:G,5,FALSE)="",0,VLOOKUP(DetalleSaldosBancosFinal1!C16,BalanceComprobacion!B:G,5,FALSE)))</f>
        <v>#N/A</v>
      </c>
      <c r="AG16" s="2" t="e">
        <f>IF(J16="",0-IF(VLOOKUP(C16,BalanceComprobacion!B:G,6,FALSE)="",0,VLOOKUP(C16,BalanceComprobacion!B:G,6,FALSE)),DetalleSaldosBancosFinal1!J16-IF(VLOOKUP(DetalleSaldosBancosFinal1!C16,BalanceComprobacion!B:G,6,FALSE)="",0,VLOOKUP(DetalleSaldosBancosFinal1!C16,BalanceComprobacion!B:G,6,FALSE)))</f>
        <v>#N/A</v>
      </c>
    </row>
    <row r="17" spans="1:33">
      <c r="A17" s="3">
        <v>2</v>
      </c>
      <c r="B17" s="3">
        <v>6</v>
      </c>
      <c r="C17" s="1" t="s">
        <v>67</v>
      </c>
      <c r="E17" s="1" t="s">
        <v>65</v>
      </c>
      <c r="F17" s="1" t="s">
        <v>65</v>
      </c>
      <c r="G17" s="1" t="s">
        <v>65</v>
      </c>
      <c r="H17" s="1" t="s">
        <v>55</v>
      </c>
      <c r="I17" s="4">
        <v>76543.66</v>
      </c>
      <c r="K17" s="4">
        <v>27533.69</v>
      </c>
      <c r="M17" s="4">
        <v>27533.69</v>
      </c>
      <c r="AF17" s="2" t="e">
        <f>IF(I17="",0-IF(VLOOKUP(C17,BalanceComprobacion!B:G,5,FALSE)="",0,VLOOKUP(C17,BalanceComprobacion!B:G,5,FALSE)),DetalleSaldosBancosFinal1!I17-IF(VLOOKUP(DetalleSaldosBancosFinal1!C17,BalanceComprobacion!B:G,5,FALSE)="",0,VLOOKUP(DetalleSaldosBancosFinal1!C17,BalanceComprobacion!B:G,5,FALSE)))</f>
        <v>#N/A</v>
      </c>
      <c r="AG17" s="2" t="e">
        <f>IF(J17="",0-IF(VLOOKUP(C17,BalanceComprobacion!B:G,6,FALSE)="",0,VLOOKUP(C17,BalanceComprobacion!B:G,6,FALSE)),DetalleSaldosBancosFinal1!J17-IF(VLOOKUP(DetalleSaldosBancosFinal1!C17,BalanceComprobacion!B:G,6,FALSE)="",0,VLOOKUP(DetalleSaldosBancosFinal1!C17,BalanceComprobacion!B:G,6,FALSE)))</f>
        <v>#N/A</v>
      </c>
    </row>
    <row r="18" spans="1:33">
      <c r="A18" s="3">
        <v>2</v>
      </c>
      <c r="B18" s="3">
        <v>7</v>
      </c>
      <c r="C18" s="1" t="s">
        <v>61</v>
      </c>
      <c r="E18" s="1" t="s">
        <v>65</v>
      </c>
      <c r="F18" s="1" t="s">
        <v>65</v>
      </c>
      <c r="G18" s="1" t="s">
        <v>65</v>
      </c>
      <c r="H18" s="1" t="s">
        <v>55</v>
      </c>
      <c r="J18" s="4">
        <v>58576.47</v>
      </c>
      <c r="L18" s="4">
        <v>21047.96</v>
      </c>
      <c r="N18" s="4">
        <v>21047.96</v>
      </c>
      <c r="AF18" s="2" t="e">
        <f>IF(I18="",0-IF(VLOOKUP(C18,BalanceComprobacion!B:G,5,FALSE)="",0,VLOOKUP(C18,BalanceComprobacion!B:G,5,FALSE)),DetalleSaldosBancosFinal1!I18-IF(VLOOKUP(DetalleSaldosBancosFinal1!C18,BalanceComprobacion!B:G,5,FALSE)="",0,VLOOKUP(DetalleSaldosBancosFinal1!C18,BalanceComprobacion!B:G,5,FALSE)))</f>
        <v>#N/A</v>
      </c>
      <c r="AG18" s="2" t="e">
        <f>IF(J18="",0-IF(VLOOKUP(C18,BalanceComprobacion!B:G,6,FALSE)="",0,VLOOKUP(C18,BalanceComprobacion!B:G,6,FALSE)),DetalleSaldosBancosFinal1!J18-IF(VLOOKUP(DetalleSaldosBancosFinal1!C18,BalanceComprobacion!B:G,6,FALSE)="",0,VLOOKUP(DetalleSaldosBancosFinal1!C18,BalanceComprobacion!B:G,6,FALSE)))</f>
        <v>#N/A</v>
      </c>
    </row>
    <row r="19" spans="1:33" s="30" customFormat="1">
      <c r="A19" s="27">
        <v>2</v>
      </c>
      <c r="B19" s="27">
        <v>8</v>
      </c>
      <c r="C19" s="1" t="s">
        <v>68</v>
      </c>
      <c r="D19" s="28"/>
      <c r="E19" s="28" t="s">
        <v>65</v>
      </c>
      <c r="F19" s="28" t="s">
        <v>65</v>
      </c>
      <c r="G19" s="28" t="s">
        <v>65</v>
      </c>
      <c r="H19" s="28" t="s">
        <v>55</v>
      </c>
      <c r="I19" s="29">
        <v>64.33</v>
      </c>
      <c r="J19" s="29"/>
      <c r="K19" s="29">
        <v>23.14</v>
      </c>
      <c r="L19" s="29"/>
      <c r="M19" s="29">
        <v>23.14</v>
      </c>
      <c r="N19" s="29"/>
      <c r="AF19" s="2">
        <f>IF(I19="",0-IF(VLOOKUP(C19,BalanceComprobacion!B:G,5,FALSE)="",0,VLOOKUP(C19,BalanceComprobacion!B:G,5,FALSE)),DetalleSaldosBancosFinal1!I19-IF(VLOOKUP(DetalleSaldosBancosFinal1!C19,BalanceComprobacion!B:G,5,FALSE)="",0,VLOOKUP(DetalleSaldosBancosFinal1!C19,BalanceComprobacion!B:G,5,FALSE)))</f>
        <v>0</v>
      </c>
      <c r="AG19" s="2">
        <f>IF(J19="",0-IF(VLOOKUP(C19,BalanceComprobacion!B:G,6,FALSE)="",0,VLOOKUP(C19,BalanceComprobacion!B:G,6,FALSE)),DetalleSaldosBancosFinal1!J19-IF(VLOOKUP(DetalleSaldosBancosFinal1!C19,BalanceComprobacion!B:G,6,FALSE)="",0,VLOOKUP(DetalleSaldosBancosFinal1!C19,BalanceComprobacion!B:G,6,FALSE)))</f>
        <v>0</v>
      </c>
    </row>
    <row r="20" spans="1:33">
      <c r="A20" s="5">
        <v>2</v>
      </c>
      <c r="B20" s="5">
        <v>9</v>
      </c>
      <c r="C20" s="6" t="s">
        <v>52</v>
      </c>
      <c r="D20" s="6" t="s">
        <v>62</v>
      </c>
      <c r="E20" s="6" t="s">
        <v>65</v>
      </c>
      <c r="F20" s="6" t="s">
        <v>65</v>
      </c>
      <c r="G20" s="6" t="s">
        <v>65</v>
      </c>
      <c r="H20" s="6" t="s">
        <v>55</v>
      </c>
      <c r="I20" s="8">
        <v>2644670.91</v>
      </c>
      <c r="J20" s="8"/>
      <c r="K20" s="8">
        <v>950184.19</v>
      </c>
      <c r="L20" s="8"/>
      <c r="M20" s="8">
        <v>950184.19</v>
      </c>
      <c r="N20" s="8">
        <v>368689.88</v>
      </c>
      <c r="AF20" s="2" t="e">
        <f>IF(I20="",0-IF(VLOOKUP(C20,BalanceComprobacion!B:G,5,FALSE)="",0,VLOOKUP(C20,BalanceComprobacion!B:G,5,FALSE)),DetalleSaldosBancosFinal1!I20-IF(VLOOKUP(DetalleSaldosBancosFinal1!C20,BalanceComprobacion!B:G,5,FALSE)="",0,VLOOKUP(DetalleSaldosBancosFinal1!C20,BalanceComprobacion!B:G,5,FALSE)))</f>
        <v>#N/A</v>
      </c>
      <c r="AG20" s="2" t="e">
        <f>IF(J20="",0-IF(VLOOKUP(C20,BalanceComprobacion!B:G,6,FALSE)="",0,VLOOKUP(C20,BalanceComprobacion!B:G,6,FALSE)),DetalleSaldosBancosFinal1!J20-IF(VLOOKUP(DetalleSaldosBancosFinal1!C20,BalanceComprobacion!B:G,6,FALSE)="",0,VLOOKUP(DetalleSaldosBancosFinal1!C20,BalanceComprobacion!B:G,6,FALSE)))</f>
        <v>#N/A</v>
      </c>
    </row>
    <row r="28" spans="1:33">
      <c r="I28" s="11"/>
    </row>
    <row r="29" spans="1:33">
      <c r="I29" s="11"/>
    </row>
    <row r="30" spans="1:33">
      <c r="I30" s="11"/>
    </row>
    <row r="31" spans="1:33">
      <c r="I31" s="11"/>
    </row>
    <row r="32" spans="1:33">
      <c r="I32" s="11"/>
    </row>
    <row r="33" spans="9:11">
      <c r="I33" s="11"/>
    </row>
    <row r="34" spans="9:11">
      <c r="I34" s="11"/>
    </row>
    <row r="35" spans="9:11">
      <c r="I35" s="11"/>
    </row>
    <row r="36" spans="9:11">
      <c r="I36" s="11"/>
    </row>
    <row r="37" spans="9:11">
      <c r="I37" s="11"/>
      <c r="K37" s="12"/>
    </row>
  </sheetData>
  <pageMargins left="0.75" right="0.75" top="1" bottom="1" header="0.5" footer="0.5"/>
  <pageSetup paperSize="9" scale="70"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activeCell="J21" sqref="A1:K21"/>
    </sheetView>
  </sheetViews>
  <sheetFormatPr baseColWidth="10" defaultColWidth="11.44140625" defaultRowHeight="13.2"/>
  <cols>
    <col min="2" max="2" width="11.44140625" style="34"/>
    <col min="3" max="3" width="38.44140625" bestFit="1" customWidth="1"/>
    <col min="4" max="5" width="13.88671875" bestFit="1" customWidth="1"/>
    <col min="7" max="7" width="12.88671875" bestFit="1" customWidth="1"/>
    <col min="9" max="9" width="12.88671875" bestFit="1" customWidth="1"/>
  </cols>
  <sheetData>
    <row r="1" spans="1:12">
      <c r="A1" s="13" t="s">
        <v>69</v>
      </c>
      <c r="B1" s="32" t="s">
        <v>70</v>
      </c>
      <c r="C1" s="13"/>
      <c r="D1" s="46" t="s">
        <v>71</v>
      </c>
      <c r="E1" s="47"/>
      <c r="F1" s="21" t="s">
        <v>72</v>
      </c>
      <c r="G1" s="22"/>
      <c r="H1" s="46" t="s">
        <v>73</v>
      </c>
      <c r="I1" s="47"/>
      <c r="J1" s="46" t="s">
        <v>74</v>
      </c>
      <c r="K1" s="47"/>
    </row>
    <row r="2" spans="1:12">
      <c r="A2" s="13" t="s">
        <v>75</v>
      </c>
      <c r="B2" s="32" t="s">
        <v>76</v>
      </c>
      <c r="C2" s="13" t="s">
        <v>77</v>
      </c>
      <c r="D2" s="14" t="s">
        <v>78</v>
      </c>
      <c r="E2" s="14" t="s">
        <v>79</v>
      </c>
      <c r="F2" s="14" t="s">
        <v>80</v>
      </c>
      <c r="G2" s="14" t="s">
        <v>81</v>
      </c>
      <c r="H2" s="14" t="s">
        <v>82</v>
      </c>
      <c r="I2" s="14" t="s">
        <v>83</v>
      </c>
      <c r="J2" s="14" t="s">
        <v>84</v>
      </c>
      <c r="K2" s="14" t="s">
        <v>85</v>
      </c>
    </row>
    <row r="3" spans="1:12">
      <c r="A3" s="15"/>
      <c r="B3" s="33"/>
      <c r="C3" s="16"/>
      <c r="D3" s="17"/>
      <c r="E3" s="17"/>
      <c r="F3" s="17"/>
      <c r="G3" s="17"/>
      <c r="H3" s="17"/>
      <c r="I3" s="17"/>
      <c r="J3" s="17"/>
      <c r="K3" s="17"/>
    </row>
    <row r="4" spans="1:12">
      <c r="A4" s="15">
        <v>10101001</v>
      </c>
      <c r="B4" s="33" t="e">
        <f>VLOOKUP(A4,#REF!,3,FALSE)</f>
        <v>#REF!</v>
      </c>
      <c r="C4" s="16" t="s">
        <v>86</v>
      </c>
      <c r="D4" s="17">
        <v>269843.78999999998</v>
      </c>
      <c r="E4" s="17">
        <v>236702.83</v>
      </c>
      <c r="F4" s="17">
        <v>33140.959999999999</v>
      </c>
      <c r="G4" s="17"/>
      <c r="H4" s="17">
        <v>33140.959999999999</v>
      </c>
      <c r="I4" s="17"/>
      <c r="J4" s="17"/>
      <c r="K4" s="17"/>
    </row>
    <row r="5" spans="1:12">
      <c r="A5" s="15">
        <v>10102001</v>
      </c>
      <c r="B5" s="33" t="e">
        <f>VLOOKUP(A5,#REF!,3,FALSE)</f>
        <v>#REF!</v>
      </c>
      <c r="C5" s="16" t="s">
        <v>87</v>
      </c>
      <c r="D5" s="17">
        <v>48815.91</v>
      </c>
      <c r="E5" s="17">
        <v>48815.91</v>
      </c>
      <c r="F5" s="17"/>
      <c r="G5" s="17"/>
      <c r="H5" s="17"/>
      <c r="I5" s="17"/>
      <c r="J5" s="17"/>
      <c r="K5" s="17"/>
    </row>
    <row r="6" spans="1:12">
      <c r="A6" s="15">
        <v>10201001</v>
      </c>
      <c r="B6" s="33" t="e">
        <f>VLOOKUP(A6,#REF!,3,FALSE)</f>
        <v>#REF!</v>
      </c>
      <c r="C6" s="16" t="s">
        <v>88</v>
      </c>
      <c r="D6" s="17">
        <v>24234.37</v>
      </c>
      <c r="E6" s="17">
        <v>21734.37</v>
      </c>
      <c r="F6" s="17">
        <v>2500</v>
      </c>
      <c r="G6" s="17"/>
      <c r="H6" s="17">
        <v>2500</v>
      </c>
      <c r="I6" s="17"/>
      <c r="J6" s="17"/>
      <c r="K6" s="17"/>
    </row>
    <row r="7" spans="1:12">
      <c r="A7" s="15">
        <v>10411001</v>
      </c>
      <c r="B7" s="33" t="e">
        <f>VLOOKUP(A7,#REF!,3,FALSE)</f>
        <v>#REF!</v>
      </c>
      <c r="C7" s="16" t="s">
        <v>89</v>
      </c>
      <c r="D7" s="17">
        <v>2959201.7</v>
      </c>
      <c r="E7" s="17">
        <v>3071104.79</v>
      </c>
      <c r="F7" s="17"/>
      <c r="G7" s="17">
        <v>111903.09</v>
      </c>
      <c r="H7" s="17"/>
      <c r="I7" s="17">
        <v>111903.09</v>
      </c>
      <c r="J7" s="17"/>
      <c r="K7" s="17"/>
    </row>
    <row r="8" spans="1:12">
      <c r="A8" s="18">
        <v>10411002</v>
      </c>
      <c r="B8" s="31" t="s">
        <v>68</v>
      </c>
      <c r="C8" s="19" t="s">
        <v>90</v>
      </c>
      <c r="D8" s="20">
        <v>64.33</v>
      </c>
      <c r="E8" s="20"/>
      <c r="F8" s="20">
        <v>64.33</v>
      </c>
      <c r="G8" s="20"/>
      <c r="H8" s="20">
        <v>64.33</v>
      </c>
      <c r="I8" s="20"/>
      <c r="J8" s="20"/>
      <c r="K8" s="20"/>
    </row>
    <row r="9" spans="1:12">
      <c r="A9" s="15">
        <v>10411003</v>
      </c>
      <c r="B9" s="33" t="e">
        <f>VLOOKUP(A9,#REF!,3,FALSE)</f>
        <v>#REF!</v>
      </c>
      <c r="C9" s="16" t="s">
        <v>91</v>
      </c>
      <c r="D9" s="17">
        <f>9200.86+330602.46</f>
        <v>339803.32</v>
      </c>
      <c r="E9" s="17">
        <v>16061.16</v>
      </c>
      <c r="F9" s="17">
        <v>323742.15999999997</v>
      </c>
      <c r="G9" s="17"/>
      <c r="H9" s="17">
        <v>323742.15999999997</v>
      </c>
      <c r="I9" s="17"/>
      <c r="J9" s="17"/>
      <c r="K9" s="17"/>
      <c r="L9" s="26"/>
    </row>
    <row r="10" spans="1:12">
      <c r="A10" s="15">
        <v>10411004</v>
      </c>
      <c r="B10" s="33" t="e">
        <f>VLOOKUP(A10,#REF!,3,FALSE)</f>
        <v>#REF!</v>
      </c>
      <c r="C10" s="16" t="s">
        <v>92</v>
      </c>
      <c r="D10" s="17">
        <v>535325.15</v>
      </c>
      <c r="E10" s="17">
        <v>670731.52000000002</v>
      </c>
      <c r="F10" s="17"/>
      <c r="G10" s="17">
        <v>135406.37</v>
      </c>
      <c r="H10" s="17"/>
      <c r="I10" s="17">
        <v>135406.37</v>
      </c>
      <c r="J10" s="17"/>
      <c r="K10" s="17"/>
      <c r="L10" s="26"/>
    </row>
    <row r="11" spans="1:12">
      <c r="A11" s="15"/>
      <c r="B11" s="33"/>
      <c r="C11" s="16"/>
      <c r="D11" s="17"/>
      <c r="E11" s="17"/>
      <c r="F11" s="17"/>
      <c r="G11" s="17"/>
      <c r="H11" s="17"/>
      <c r="I11" s="17"/>
      <c r="J11" s="17"/>
      <c r="K11" s="17"/>
    </row>
    <row r="12" spans="1:12">
      <c r="A12" s="15">
        <v>10412002</v>
      </c>
      <c r="B12" s="33" t="e">
        <f>VLOOKUP(A12,#REF!,3,FALSE)</f>
        <v>#REF!</v>
      </c>
      <c r="C12" s="16" t="s">
        <v>93</v>
      </c>
      <c r="D12" s="17">
        <v>45929.8</v>
      </c>
      <c r="E12" s="17">
        <v>21809.7</v>
      </c>
      <c r="F12" s="17">
        <v>24120.1</v>
      </c>
      <c r="G12" s="17"/>
      <c r="H12" s="17">
        <v>24120.1</v>
      </c>
      <c r="I12" s="17"/>
      <c r="J12" s="17"/>
      <c r="K12" s="17"/>
    </row>
    <row r="13" spans="1:12">
      <c r="A13" s="15">
        <v>10413001</v>
      </c>
      <c r="B13" s="33" t="e">
        <f>VLOOKUP(A13,#REF!,3,FALSE)</f>
        <v>#REF!</v>
      </c>
      <c r="C13" s="16" t="s">
        <v>94</v>
      </c>
      <c r="D13" s="17">
        <v>24535546.48</v>
      </c>
      <c r="E13" s="17">
        <v>24371592.48</v>
      </c>
      <c r="F13" s="17">
        <v>163954</v>
      </c>
      <c r="G13" s="17"/>
      <c r="H13" s="17">
        <v>163954</v>
      </c>
      <c r="I13" s="17"/>
      <c r="J13" s="17"/>
      <c r="K13" s="17"/>
    </row>
    <row r="14" spans="1:12">
      <c r="A14" s="15">
        <v>10413002</v>
      </c>
      <c r="B14" s="33" t="e">
        <f>VLOOKUP(A14,#REF!,3,FALSE)</f>
        <v>#REF!</v>
      </c>
      <c r="C14" s="16" t="s">
        <v>95</v>
      </c>
      <c r="D14" s="17">
        <v>34442524.810000002</v>
      </c>
      <c r="E14" s="17">
        <v>37429073.240000002</v>
      </c>
      <c r="F14" s="17"/>
      <c r="G14" s="17">
        <v>2986548.43</v>
      </c>
      <c r="H14" s="17"/>
      <c r="I14" s="17">
        <v>2986548.43</v>
      </c>
      <c r="J14" s="17"/>
      <c r="K14" s="17"/>
    </row>
    <row r="15" spans="1:12">
      <c r="A15" s="15">
        <v>10413003</v>
      </c>
      <c r="B15" s="33" t="e">
        <f>VLOOKUP(A15,#REF!,3,FALSE)</f>
        <v>#REF!</v>
      </c>
      <c r="C15" s="16" t="s">
        <v>96</v>
      </c>
      <c r="D15" s="17"/>
      <c r="E15" s="17">
        <v>102576.83</v>
      </c>
      <c r="F15" s="17"/>
      <c r="G15" s="17">
        <v>102576.83</v>
      </c>
      <c r="H15" s="17"/>
      <c r="I15" s="17">
        <v>102576.83</v>
      </c>
      <c r="J15" s="17"/>
      <c r="K15" s="17"/>
    </row>
    <row r="16" spans="1:12">
      <c r="A16" s="15">
        <v>10413004</v>
      </c>
      <c r="B16" s="33" t="e">
        <f>VLOOKUP(A16,#REF!,3,FALSE)</f>
        <v>#REF!</v>
      </c>
      <c r="C16" s="16" t="s">
        <v>97</v>
      </c>
      <c r="D16" s="17">
        <v>59664.92</v>
      </c>
      <c r="E16" s="17">
        <v>156747.73000000001</v>
      </c>
      <c r="F16" s="17"/>
      <c r="G16" s="17">
        <v>97082.81</v>
      </c>
      <c r="H16" s="17"/>
      <c r="I16" s="17">
        <v>97082.81</v>
      </c>
      <c r="J16" s="17"/>
      <c r="K16" s="17"/>
    </row>
    <row r="17" spans="1:11">
      <c r="A17" s="15">
        <v>10413005</v>
      </c>
      <c r="B17" s="33" t="e">
        <f>VLOOKUP(A17,#REF!,3,FALSE)</f>
        <v>#REF!</v>
      </c>
      <c r="C17" s="16" t="s">
        <v>98</v>
      </c>
      <c r="D17" s="17">
        <v>269572.34999999998</v>
      </c>
      <c r="E17" s="17">
        <v>84602.71</v>
      </c>
      <c r="F17" s="17">
        <v>184969.64</v>
      </c>
      <c r="G17" s="17"/>
      <c r="H17" s="17">
        <v>184969.64</v>
      </c>
      <c r="I17" s="17"/>
      <c r="J17" s="17"/>
      <c r="K17" s="17"/>
    </row>
    <row r="18" spans="1:11">
      <c r="A18" s="15">
        <v>10415001</v>
      </c>
      <c r="B18" s="33" t="e">
        <f>VLOOKUP(A18,#REF!,3,FALSE)</f>
        <v>#REF!</v>
      </c>
      <c r="C18" s="16" t="s">
        <v>99</v>
      </c>
      <c r="D18" s="17">
        <v>76543.66</v>
      </c>
      <c r="E18" s="17"/>
      <c r="F18" s="17">
        <v>76543.66</v>
      </c>
      <c r="G18" s="17"/>
      <c r="H18" s="17">
        <v>76543.66</v>
      </c>
      <c r="I18" s="17"/>
      <c r="J18" s="17"/>
      <c r="K18" s="17"/>
    </row>
    <row r="19" spans="1:11">
      <c r="A19" s="15">
        <v>10415002</v>
      </c>
      <c r="B19" s="33" t="e">
        <f>VLOOKUP(A19,#REF!,3,FALSE)</f>
        <v>#REF!</v>
      </c>
      <c r="C19" s="16" t="s">
        <v>100</v>
      </c>
      <c r="D19" s="17">
        <v>12292.92</v>
      </c>
      <c r="E19" s="17">
        <v>70869.39</v>
      </c>
      <c r="F19" s="17"/>
      <c r="G19" s="17">
        <v>58576.47</v>
      </c>
      <c r="H19" s="17"/>
      <c r="I19" s="17">
        <v>58576.47</v>
      </c>
      <c r="J19" s="17"/>
      <c r="K19" s="17"/>
    </row>
    <row r="20" spans="1:11">
      <c r="A20" s="15">
        <v>10621001</v>
      </c>
      <c r="B20" s="33" t="e">
        <f>VLOOKUP(A20,#REF!,3,FALSE)</f>
        <v>#REF!</v>
      </c>
      <c r="C20" s="16" t="s">
        <v>101</v>
      </c>
      <c r="D20" s="17">
        <v>515904.17</v>
      </c>
      <c r="E20" s="17"/>
      <c r="F20" s="17">
        <v>515904.17</v>
      </c>
      <c r="G20" s="17"/>
      <c r="H20" s="17">
        <v>515904.17</v>
      </c>
      <c r="I20" s="17"/>
      <c r="J20" s="17"/>
      <c r="K20" s="17"/>
    </row>
    <row r="21" spans="1:11">
      <c r="A21" s="15">
        <v>10711001</v>
      </c>
      <c r="B21" s="33" t="e">
        <f>VLOOKUP(A21,#REF!,3,FALSE)</f>
        <v>#REF!</v>
      </c>
      <c r="C21" s="16" t="s">
        <v>102</v>
      </c>
      <c r="D21" s="17">
        <v>966505.29</v>
      </c>
      <c r="E21" s="17">
        <v>970292.98</v>
      </c>
      <c r="F21" s="17"/>
      <c r="G21" s="17">
        <v>3787.69</v>
      </c>
      <c r="H21" s="17"/>
      <c r="I21" s="17">
        <v>3787.69</v>
      </c>
      <c r="J21" s="17"/>
      <c r="K21" s="17"/>
    </row>
  </sheetData>
  <mergeCells count="3">
    <mergeCell ref="D1:E1"/>
    <mergeCell ref="H1:I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7"/>
  <sheetViews>
    <sheetView workbookViewId="0">
      <pane ySplit="2" topLeftCell="A3" activePane="bottomLeft" state="frozen"/>
      <selection pane="bottomLeft" activeCell="J24" sqref="J24"/>
    </sheetView>
  </sheetViews>
  <sheetFormatPr baseColWidth="10" defaultColWidth="9.109375" defaultRowHeight="13.2"/>
  <cols>
    <col min="1" max="1" width="10.88671875" style="3" bestFit="1" customWidth="1"/>
    <col min="2" max="2" width="15.6640625" style="3" bestFit="1" customWidth="1"/>
    <col min="3" max="3" width="15.33203125" style="1" bestFit="1" customWidth="1"/>
    <col min="4" max="4" width="30.33203125" style="1" customWidth="1"/>
    <col min="5" max="5" width="23" style="1" customWidth="1"/>
    <col min="6" max="6" width="19.5546875" style="1" customWidth="1"/>
    <col min="7" max="7" width="20.5546875" style="1" bestFit="1" customWidth="1"/>
    <col min="8" max="8" width="11.5546875" style="1" customWidth="1"/>
    <col min="9" max="9" width="13.44140625" style="4" bestFit="1" customWidth="1"/>
    <col min="10" max="10" width="11.6640625" style="4" bestFit="1" customWidth="1"/>
    <col min="11" max="11" width="16.6640625" style="4" bestFit="1" customWidth="1"/>
    <col min="12" max="12" width="13.5546875" style="4" bestFit="1" customWidth="1"/>
    <col min="13" max="13" width="13" style="4" bestFit="1" customWidth="1"/>
    <col min="14" max="14" width="13.6640625" style="4" bestFit="1" customWidth="1"/>
    <col min="15" max="15" width="11.44140625" style="2" bestFit="1" customWidth="1"/>
    <col min="16" max="16" width="18.88671875" style="2" bestFit="1" customWidth="1"/>
    <col min="17" max="17" width="9.44140625" style="2" bestFit="1" customWidth="1"/>
    <col min="18" max="18" width="14.33203125" style="2" bestFit="1" customWidth="1"/>
    <col min="19" max="19" width="12.109375" style="2" bestFit="1" customWidth="1"/>
    <col min="20" max="21" width="11.5546875" style="2" bestFit="1" customWidth="1"/>
    <col min="22" max="22" width="11.44140625" style="2" bestFit="1" customWidth="1"/>
    <col min="23" max="24" width="15.33203125" style="2" bestFit="1" customWidth="1"/>
    <col min="25" max="25" width="10.6640625" style="2" bestFit="1" customWidth="1"/>
    <col min="26" max="26" width="18.88671875" style="2" bestFit="1" customWidth="1"/>
    <col min="27" max="27" width="17.44140625" style="2" bestFit="1" customWidth="1"/>
    <col min="28" max="28" width="9.88671875" style="2" bestFit="1" customWidth="1"/>
    <col min="29" max="29" width="10.88671875" style="2" bestFit="1" customWidth="1"/>
    <col min="30" max="30" width="7.88671875" style="2" bestFit="1" customWidth="1"/>
    <col min="31" max="31" width="13" style="2" bestFit="1" customWidth="1"/>
    <col min="32" max="16384" width="9.109375" style="2"/>
  </cols>
  <sheetData>
    <row r="1" spans="1:3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0" t="s">
        <v>40</v>
      </c>
      <c r="K2" s="10" t="s">
        <v>41</v>
      </c>
      <c r="L2" s="10" t="s">
        <v>42</v>
      </c>
      <c r="M2" s="10" t="s">
        <v>43</v>
      </c>
      <c r="N2" s="10" t="s">
        <v>44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45</v>
      </c>
    </row>
    <row r="3" spans="1:31">
      <c r="A3" s="3">
        <v>1</v>
      </c>
      <c r="B3" s="3">
        <v>0</v>
      </c>
      <c r="C3" s="1" t="s">
        <v>46</v>
      </c>
      <c r="E3" s="1" t="s">
        <v>65</v>
      </c>
      <c r="F3" s="1" t="s">
        <v>65</v>
      </c>
      <c r="G3" s="1" t="s">
        <v>65</v>
      </c>
      <c r="I3" s="4">
        <v>33140.959999999999</v>
      </c>
    </row>
    <row r="4" spans="1:31">
      <c r="A4" s="3">
        <v>1</v>
      </c>
      <c r="B4" s="3">
        <v>1</v>
      </c>
      <c r="C4" s="1" t="s">
        <v>103</v>
      </c>
      <c r="E4" s="1" t="s">
        <v>65</v>
      </c>
      <c r="F4" s="1" t="s">
        <v>65</v>
      </c>
      <c r="G4" s="1" t="s">
        <v>65</v>
      </c>
      <c r="I4" s="4">
        <v>2500</v>
      </c>
    </row>
    <row r="5" spans="1:31">
      <c r="A5" s="3">
        <v>1</v>
      </c>
      <c r="B5" s="3">
        <v>2</v>
      </c>
      <c r="C5" s="1" t="s">
        <v>49</v>
      </c>
      <c r="E5" s="1" t="s">
        <v>65</v>
      </c>
      <c r="F5" s="1" t="s">
        <v>65</v>
      </c>
      <c r="G5" s="1" t="s">
        <v>65</v>
      </c>
      <c r="I5" s="4">
        <v>163954</v>
      </c>
    </row>
    <row r="6" spans="1:31">
      <c r="A6" s="3">
        <v>1</v>
      </c>
      <c r="B6" s="3">
        <v>3</v>
      </c>
      <c r="C6" s="1" t="s">
        <v>50</v>
      </c>
      <c r="E6" s="1" t="s">
        <v>65</v>
      </c>
      <c r="F6" s="1" t="s">
        <v>65</v>
      </c>
      <c r="G6" s="1" t="s">
        <v>65</v>
      </c>
      <c r="J6" s="4">
        <v>102576.83</v>
      </c>
    </row>
    <row r="7" spans="1:31">
      <c r="A7" s="3">
        <v>1</v>
      </c>
      <c r="B7" s="3">
        <v>4</v>
      </c>
      <c r="C7" s="1" t="s">
        <v>48</v>
      </c>
      <c r="E7" s="1" t="s">
        <v>65</v>
      </c>
      <c r="F7" s="1" t="s">
        <v>65</v>
      </c>
      <c r="G7" s="1" t="s">
        <v>65</v>
      </c>
      <c r="J7" s="4">
        <v>135406.37</v>
      </c>
    </row>
    <row r="8" spans="1:31">
      <c r="A8" s="3">
        <v>1</v>
      </c>
      <c r="B8" s="3">
        <v>5</v>
      </c>
      <c r="C8" s="1" t="s">
        <v>51</v>
      </c>
      <c r="E8" s="1" t="s">
        <v>65</v>
      </c>
      <c r="F8" s="1" t="s">
        <v>65</v>
      </c>
      <c r="G8" s="1" t="s">
        <v>65</v>
      </c>
      <c r="J8" s="4">
        <v>3787.69</v>
      </c>
    </row>
    <row r="9" spans="1:31">
      <c r="A9" s="3">
        <v>1</v>
      </c>
      <c r="B9" s="3">
        <v>6</v>
      </c>
      <c r="C9" s="1" t="s">
        <v>66</v>
      </c>
      <c r="E9" s="1" t="s">
        <v>65</v>
      </c>
      <c r="F9" s="1" t="s">
        <v>65</v>
      </c>
      <c r="G9" s="1" t="s">
        <v>65</v>
      </c>
      <c r="I9" s="4">
        <v>515904.17</v>
      </c>
    </row>
    <row r="10" spans="1:31">
      <c r="A10" s="5">
        <v>1</v>
      </c>
      <c r="B10" s="5">
        <v>6</v>
      </c>
      <c r="C10" s="6" t="s">
        <v>52</v>
      </c>
      <c r="D10" s="6" t="s">
        <v>53</v>
      </c>
      <c r="E10" s="6" t="s">
        <v>65</v>
      </c>
      <c r="F10" s="6" t="s">
        <v>65</v>
      </c>
      <c r="G10" s="6" t="s">
        <v>65</v>
      </c>
      <c r="H10" s="6"/>
      <c r="I10" s="7"/>
      <c r="J10" s="8">
        <v>473728.24</v>
      </c>
      <c r="K10" s="8"/>
      <c r="L10" s="8"/>
      <c r="M10" s="8"/>
      <c r="N10" s="8"/>
    </row>
    <row r="11" spans="1:31">
      <c r="A11" s="3">
        <v>2</v>
      </c>
      <c r="B11" s="3">
        <v>0</v>
      </c>
      <c r="C11" s="1" t="s">
        <v>54</v>
      </c>
      <c r="E11" s="1" t="s">
        <v>65</v>
      </c>
      <c r="F11" s="1" t="s">
        <v>65</v>
      </c>
      <c r="G11" s="1" t="s">
        <v>65</v>
      </c>
      <c r="H11" s="1" t="s">
        <v>55</v>
      </c>
      <c r="J11" s="4">
        <v>111903.09</v>
      </c>
      <c r="L11" s="4">
        <v>40209.519999999997</v>
      </c>
      <c r="N11" s="4">
        <v>40209.519999999997</v>
      </c>
      <c r="O11" s="2">
        <f>+J11/L11</f>
        <v>2.7829998965419134</v>
      </c>
    </row>
    <row r="12" spans="1:31">
      <c r="A12" s="3">
        <v>2</v>
      </c>
      <c r="B12" s="3">
        <v>1</v>
      </c>
      <c r="C12" s="1" t="s">
        <v>56</v>
      </c>
      <c r="E12" s="1" t="s">
        <v>65</v>
      </c>
      <c r="F12" s="1" t="s">
        <v>65</v>
      </c>
      <c r="G12" s="1" t="s">
        <v>65</v>
      </c>
      <c r="H12" s="1" t="s">
        <v>55</v>
      </c>
      <c r="I12" s="4">
        <v>323742.15999999997</v>
      </c>
      <c r="K12" s="4">
        <v>116328.48</v>
      </c>
      <c r="M12" s="4">
        <v>116328.48</v>
      </c>
      <c r="O12" s="2">
        <f>+I12/M12</f>
        <v>2.7830000013754153</v>
      </c>
    </row>
    <row r="13" spans="1:31">
      <c r="A13" s="3">
        <v>2</v>
      </c>
      <c r="B13" s="3">
        <v>2</v>
      </c>
      <c r="C13" s="1" t="s">
        <v>57</v>
      </c>
      <c r="E13" s="1" t="s">
        <v>65</v>
      </c>
      <c r="F13" s="1" t="s">
        <v>65</v>
      </c>
      <c r="G13" s="1" t="s">
        <v>65</v>
      </c>
      <c r="H13" s="1" t="s">
        <v>55</v>
      </c>
      <c r="I13" s="4">
        <v>24120.1</v>
      </c>
      <c r="K13" s="4">
        <v>8676.2999999999993</v>
      </c>
      <c r="M13" s="4">
        <v>8676.2999999999993</v>
      </c>
      <c r="O13" s="2">
        <f t="shared" ref="O13:O14" si="0">+I13/M13</f>
        <v>2.7799983864089532</v>
      </c>
    </row>
    <row r="14" spans="1:31">
      <c r="A14" s="3">
        <v>2</v>
      </c>
      <c r="B14" s="3">
        <v>3</v>
      </c>
      <c r="C14" s="1" t="s">
        <v>59</v>
      </c>
      <c r="E14" s="1" t="s">
        <v>65</v>
      </c>
      <c r="F14" s="1" t="s">
        <v>65</v>
      </c>
      <c r="G14" s="1" t="s">
        <v>65</v>
      </c>
      <c r="H14" s="1" t="s">
        <v>55</v>
      </c>
      <c r="I14" s="4">
        <v>184969.64</v>
      </c>
      <c r="K14" s="4">
        <v>66535.839999999997</v>
      </c>
      <c r="M14" s="4">
        <v>66535.839999999997</v>
      </c>
      <c r="O14" s="2">
        <f t="shared" si="0"/>
        <v>2.7800000721415712</v>
      </c>
    </row>
    <row r="15" spans="1:31">
      <c r="A15" s="3">
        <v>2</v>
      </c>
      <c r="B15" s="3">
        <v>4</v>
      </c>
      <c r="C15" s="1" t="s">
        <v>58</v>
      </c>
      <c r="E15" s="1" t="s">
        <v>65</v>
      </c>
      <c r="F15" s="1" t="s">
        <v>65</v>
      </c>
      <c r="G15" s="1" t="s">
        <v>65</v>
      </c>
      <c r="H15" s="1" t="s">
        <v>55</v>
      </c>
      <c r="J15" s="4">
        <v>2986548.43</v>
      </c>
      <c r="L15" s="4">
        <v>1073139.93</v>
      </c>
      <c r="N15" s="4">
        <v>1073139.93</v>
      </c>
      <c r="O15" s="2" t="e">
        <f>+I15/M15</f>
        <v>#DIV/0!</v>
      </c>
    </row>
    <row r="16" spans="1:31">
      <c r="A16" s="3">
        <v>2</v>
      </c>
      <c r="B16" s="3">
        <v>5</v>
      </c>
      <c r="C16" s="1" t="s">
        <v>60</v>
      </c>
      <c r="E16" s="1" t="s">
        <v>65</v>
      </c>
      <c r="F16" s="1" t="s">
        <v>65</v>
      </c>
      <c r="G16" s="1" t="s">
        <v>65</v>
      </c>
      <c r="H16" s="1" t="s">
        <v>55</v>
      </c>
      <c r="J16" s="4">
        <v>97082.81</v>
      </c>
      <c r="L16" s="4">
        <v>34884.230000000003</v>
      </c>
      <c r="N16" s="4">
        <v>34884.230000000003</v>
      </c>
    </row>
    <row r="17" spans="1:15">
      <c r="A17" s="3">
        <v>2</v>
      </c>
      <c r="B17" s="3">
        <v>6</v>
      </c>
      <c r="C17" s="1" t="s">
        <v>67</v>
      </c>
      <c r="E17" s="1" t="s">
        <v>65</v>
      </c>
      <c r="F17" s="1" t="s">
        <v>65</v>
      </c>
      <c r="G17" s="1" t="s">
        <v>65</v>
      </c>
      <c r="H17" s="1" t="s">
        <v>55</v>
      </c>
      <c r="I17" s="4">
        <v>76543.66</v>
      </c>
      <c r="K17" s="4">
        <v>27533.69</v>
      </c>
      <c r="M17" s="4">
        <v>27533.69</v>
      </c>
    </row>
    <row r="18" spans="1:15">
      <c r="A18" s="3">
        <v>2</v>
      </c>
      <c r="B18" s="3">
        <v>7</v>
      </c>
      <c r="C18" s="1" t="s">
        <v>61</v>
      </c>
      <c r="E18" s="1" t="s">
        <v>65</v>
      </c>
      <c r="F18" s="1" t="s">
        <v>65</v>
      </c>
      <c r="G18" s="1" t="s">
        <v>65</v>
      </c>
      <c r="H18" s="1" t="s">
        <v>55</v>
      </c>
      <c r="J18" s="4">
        <v>58576.47</v>
      </c>
      <c r="L18" s="4">
        <v>21047.96</v>
      </c>
      <c r="N18" s="4">
        <v>21047.96</v>
      </c>
    </row>
    <row r="19" spans="1:15">
      <c r="A19" s="3">
        <v>2</v>
      </c>
      <c r="B19" s="3">
        <v>8</v>
      </c>
      <c r="C19" s="1" t="s">
        <v>104</v>
      </c>
      <c r="E19" s="1" t="s">
        <v>65</v>
      </c>
      <c r="F19" s="1" t="s">
        <v>65</v>
      </c>
      <c r="G19" s="1" t="s">
        <v>65</v>
      </c>
      <c r="H19" s="1" t="s">
        <v>55</v>
      </c>
      <c r="I19" s="4">
        <v>64.33</v>
      </c>
      <c r="K19" s="4">
        <v>23.14</v>
      </c>
      <c r="M19" s="4">
        <v>23.14</v>
      </c>
    </row>
    <row r="20" spans="1:15">
      <c r="A20" s="5">
        <v>2</v>
      </c>
      <c r="B20" s="5">
        <v>9</v>
      </c>
      <c r="C20" s="6" t="s">
        <v>52</v>
      </c>
      <c r="D20" s="6" t="s">
        <v>62</v>
      </c>
      <c r="E20" s="6" t="s">
        <v>65</v>
      </c>
      <c r="F20" s="6" t="s">
        <v>65</v>
      </c>
      <c r="G20" s="6" t="s">
        <v>65</v>
      </c>
      <c r="H20" s="6" t="s">
        <v>55</v>
      </c>
      <c r="I20" s="8">
        <v>2644670.91</v>
      </c>
      <c r="J20" s="8"/>
      <c r="K20" s="8">
        <v>950184.19</v>
      </c>
      <c r="L20" s="8"/>
      <c r="M20" s="8">
        <v>950184.19</v>
      </c>
      <c r="N20" s="8">
        <v>368689.88</v>
      </c>
      <c r="O20" s="4">
        <f>M20-N20</f>
        <v>581494.30999999994</v>
      </c>
    </row>
    <row r="22" spans="1:15">
      <c r="M22" s="4">
        <f>SUM(M12:M19)</f>
        <v>219097.45</v>
      </c>
      <c r="N22" s="4">
        <f>SUM(N11:N20)</f>
        <v>1537971.52</v>
      </c>
      <c r="O22" s="4">
        <f>M22-N22</f>
        <v>-1318874.07</v>
      </c>
    </row>
    <row r="28" spans="1:15">
      <c r="I28" s="11"/>
    </row>
    <row r="29" spans="1:15">
      <c r="I29" s="11"/>
    </row>
    <row r="30" spans="1:15">
      <c r="I30" s="11"/>
    </row>
    <row r="31" spans="1:15">
      <c r="I31" s="11"/>
    </row>
    <row r="32" spans="1:15">
      <c r="I32" s="11"/>
    </row>
    <row r="33" spans="9:11">
      <c r="I33" s="11"/>
    </row>
    <row r="34" spans="9:11">
      <c r="I34" s="11"/>
    </row>
    <row r="35" spans="9:11">
      <c r="I35" s="11"/>
    </row>
    <row r="36" spans="9:11">
      <c r="I36" s="11"/>
    </row>
    <row r="37" spans="9:11">
      <c r="I37" s="11"/>
      <c r="K37" s="12"/>
    </row>
  </sheetData>
  <pageMargins left="0.75" right="0.75" top="1" bottom="1" header="0.5" footer="0.5"/>
  <pageSetup paperSize="9" scale="70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DetalleSaldosBancosFinal</vt:lpstr>
      <vt:lpstr>DetalleSaldosBancosFinal1</vt:lpstr>
      <vt:lpstr>BalanceComprobacion</vt:lpstr>
      <vt:lpstr>Detalle_Saldos_Bancos)</vt:lpstr>
    </vt:vector>
  </TitlesOfParts>
  <Manager/>
  <Company>Triton Trading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IGNACIO.RIVEROS</dc:creator>
  <cp:keywords/>
  <dc:description/>
  <cp:lastModifiedBy>Edgar Chavez</cp:lastModifiedBy>
  <cp:revision/>
  <dcterms:created xsi:type="dcterms:W3CDTF">2009-10-06T21:56:34Z</dcterms:created>
  <dcterms:modified xsi:type="dcterms:W3CDTF">2026-03-20T00:17:09Z</dcterms:modified>
  <cp:category/>
  <cp:contentStatus/>
</cp:coreProperties>
</file>